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School works\Business School\알바\금융프로그래밍\VBA\"/>
    </mc:Choice>
  </mc:AlternateContent>
  <bookViews>
    <workbookView xWindow="0" yWindow="0" windowWidth="27810" windowHeight="12885" firstSheet="1" activeTab="2"/>
  </bookViews>
  <sheets>
    <sheet name="1. 포트폴리오 행렬계산" sheetId="3" r:id="rId1"/>
    <sheet name="2. 해찾기" sheetId="1" r:id="rId2"/>
    <sheet name="3. VBA Black-Scholes" sheetId="4" r:id="rId3"/>
    <sheet name="Sheet1" sheetId="5" r:id="rId4"/>
  </sheets>
  <functionGroups builtInGroupCount="18"/>
  <definedNames>
    <definedName name="ee" localSheetId="1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1" hidden="1">'2. 해찾기'!$F$22:$F$24</definedName>
    <definedName name="solver_cvg" localSheetId="1" hidden="1">0.1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'2. 해찾기'!$F$30</definedName>
    <definedName name="solver_lhs2" localSheetId="1" hidden="1">'2. 해찾기'!$F$31</definedName>
    <definedName name="solver_lhs3" localSheetId="1" hidden="1">'2. 해찾기'!$F$32</definedName>
    <definedName name="solver_lhs4" localSheetId="1" hidden="1">'2. 해찾기'!$F$33</definedName>
    <definedName name="solver_lhs5" localSheetId="1" hidden="1">'2. 해찾기'!$F$34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5</definedName>
    <definedName name="solver_nwt" localSheetId="1" hidden="1">1</definedName>
    <definedName name="solver_opt" localSheetId="1" hidden="1">'2. 해찾기'!$F$27</definedName>
    <definedName name="solver_pre" localSheetId="1" hidden="1">0.01</definedName>
    <definedName name="solver_rbv" localSheetId="1" hidden="1">1</definedName>
    <definedName name="solver_rel1" localSheetId="1" hidden="1">1</definedName>
    <definedName name="solver_rel2" localSheetId="1" hidden="1">1</definedName>
    <definedName name="solver_rel3" localSheetId="1" hidden="1">1</definedName>
    <definedName name="solver_rel4" localSheetId="1" hidden="1">1</definedName>
    <definedName name="solver_rel5" localSheetId="1" hidden="1">1</definedName>
    <definedName name="solver_rhs1" localSheetId="1" hidden="1">0</definedName>
    <definedName name="solver_rhs2" localSheetId="1" hidden="1">0</definedName>
    <definedName name="solver_rhs3" localSheetId="1" hidden="1">0</definedName>
    <definedName name="solver_rhs4" localSheetId="1" hidden="1">0</definedName>
    <definedName name="solver_rhs5" localSheetId="1" hidden="1">0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4000000</definedName>
    <definedName name="solver_ver" localSheetId="1" hidden="1">3</definedName>
    <definedName name="wrn.AllData." localSheetId="1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2" i="5"/>
  <c r="C26" i="1" l="1"/>
  <c r="I6" i="3" l="1"/>
  <c r="F34" i="1"/>
  <c r="F33" i="1"/>
  <c r="F32" i="1"/>
  <c r="F31" i="1"/>
  <c r="F30" i="1"/>
  <c r="F27" i="1"/>
  <c r="D9" i="1" l="1"/>
  <c r="D8" i="1"/>
  <c r="E8" i="1" s="1"/>
  <c r="C16" i="1"/>
  <c r="D15" i="1"/>
  <c r="E15" i="1" s="1"/>
  <c r="D14" i="1"/>
  <c r="D13" i="1"/>
  <c r="C10" i="1"/>
  <c r="C17" i="1" l="1"/>
  <c r="D10" i="1"/>
  <c r="F8" i="1"/>
  <c r="D16" i="1"/>
  <c r="E13" i="1"/>
  <c r="F13" i="1" s="1"/>
  <c r="E9" i="1"/>
  <c r="F9" i="1" s="1"/>
  <c r="E14" i="1"/>
  <c r="F14" i="1" s="1"/>
  <c r="F15" i="1"/>
  <c r="D17" i="1" l="1"/>
  <c r="E10" i="1"/>
  <c r="F10" i="1"/>
  <c r="F16" i="1"/>
  <c r="E16" i="1"/>
  <c r="F17" i="1" l="1"/>
  <c r="B5" i="1" s="1"/>
  <c r="E17" i="1"/>
</calcChain>
</file>

<file path=xl/sharedStrings.xml><?xml version="1.0" encoding="utf-8"?>
<sst xmlns="http://schemas.openxmlformats.org/spreadsheetml/2006/main" count="89" uniqueCount="67">
  <si>
    <r>
      <rPr>
        <sz val="10"/>
        <rFont val="돋움"/>
        <family val="3"/>
        <charset val="129"/>
      </rPr>
      <t>총</t>
    </r>
    <r>
      <rPr>
        <sz val="10"/>
        <rFont val="Calibri"/>
        <family val="2"/>
      </rPr>
      <t xml:space="preserve"> </t>
    </r>
    <r>
      <rPr>
        <sz val="10"/>
        <rFont val="돋움"/>
        <family val="3"/>
        <charset val="129"/>
      </rPr>
      <t>이익</t>
    </r>
    <phoneticPr fontId="3" type="noConversion"/>
  </si>
  <si>
    <r>
      <t>2</t>
    </r>
    <r>
      <rPr>
        <b/>
        <sz val="10"/>
        <rFont val="돋움"/>
        <family val="3"/>
        <charset val="129"/>
      </rPr>
      <t>분기</t>
    </r>
    <phoneticPr fontId="3" type="noConversion"/>
  </si>
  <si>
    <r>
      <t>3</t>
    </r>
    <r>
      <rPr>
        <b/>
        <sz val="10"/>
        <rFont val="돋움"/>
        <family val="3"/>
        <charset val="129"/>
      </rPr>
      <t>분기</t>
    </r>
    <phoneticPr fontId="3" type="noConversion"/>
  </si>
  <si>
    <t>합계</t>
    <phoneticPr fontId="3" type="noConversion"/>
  </si>
  <si>
    <r>
      <rPr>
        <sz val="10"/>
        <rFont val="돋움"/>
        <family val="3"/>
        <charset val="129"/>
      </rPr>
      <t>기타</t>
    </r>
    <r>
      <rPr>
        <sz val="10"/>
        <rFont val="Calibri"/>
        <family val="2"/>
      </rPr>
      <t xml:space="preserve"> </t>
    </r>
    <r>
      <rPr>
        <sz val="10"/>
        <rFont val="돋움"/>
        <family val="3"/>
        <charset val="129"/>
      </rPr>
      <t>품목</t>
    </r>
    <phoneticPr fontId="3" type="noConversion"/>
  </si>
  <si>
    <t>판매이익</t>
    <phoneticPr fontId="3" type="noConversion"/>
  </si>
  <si>
    <t>지출</t>
    <phoneticPr fontId="3" type="noConversion"/>
  </si>
  <si>
    <t>전기세</t>
    <phoneticPr fontId="3" type="noConversion"/>
  </si>
  <si>
    <t>임대료</t>
    <phoneticPr fontId="3" type="noConversion"/>
  </si>
  <si>
    <t>광고이익</t>
    <phoneticPr fontId="3" type="noConversion"/>
  </si>
  <si>
    <r>
      <rPr>
        <b/>
        <sz val="10"/>
        <rFont val="돋움"/>
        <family val="3"/>
        <charset val="129"/>
      </rPr>
      <t>총</t>
    </r>
    <r>
      <rPr>
        <b/>
        <sz val="10"/>
        <rFont val="Calibri"/>
        <family val="2"/>
      </rPr>
      <t xml:space="preserve"> </t>
    </r>
    <r>
      <rPr>
        <b/>
        <sz val="10"/>
        <rFont val="돋움"/>
        <family val="3"/>
        <charset val="129"/>
      </rPr>
      <t>이익</t>
    </r>
    <phoneticPr fontId="3" type="noConversion"/>
  </si>
  <si>
    <t>성장률</t>
    <phoneticPr fontId="3" type="noConversion"/>
  </si>
  <si>
    <t>총 지출</t>
    <phoneticPr fontId="3" type="noConversion"/>
  </si>
  <si>
    <t>순 이익</t>
    <phoneticPr fontId="3" type="noConversion"/>
  </si>
  <si>
    <r>
      <rPr>
        <b/>
        <sz val="10"/>
        <color theme="0"/>
        <rFont val="돋움"/>
        <family val="3"/>
        <charset val="129"/>
      </rPr>
      <t>문제</t>
    </r>
    <r>
      <rPr>
        <b/>
        <sz val="10"/>
        <color theme="0"/>
        <rFont val="Calibri"/>
        <family val="2"/>
      </rPr>
      <t xml:space="preserve"> 1</t>
    </r>
    <r>
      <rPr>
        <b/>
        <sz val="10"/>
        <color theme="0"/>
        <rFont val="돋움"/>
        <family val="3"/>
        <charset val="129"/>
      </rPr>
      <t>번</t>
    </r>
    <phoneticPr fontId="3" type="noConversion"/>
  </si>
  <si>
    <r>
      <rPr>
        <b/>
        <sz val="10"/>
        <color theme="0"/>
        <rFont val="돋움"/>
        <family val="3"/>
        <charset val="129"/>
      </rPr>
      <t>문제</t>
    </r>
    <r>
      <rPr>
        <b/>
        <sz val="10"/>
        <color theme="0"/>
        <rFont val="Calibri"/>
        <family val="2"/>
      </rPr>
      <t xml:space="preserve"> 2</t>
    </r>
    <r>
      <rPr>
        <b/>
        <sz val="10"/>
        <color theme="0"/>
        <rFont val="돋움"/>
        <family val="3"/>
        <charset val="129"/>
      </rPr>
      <t>번</t>
    </r>
    <phoneticPr fontId="3" type="noConversion"/>
  </si>
  <si>
    <r>
      <t>1</t>
    </r>
    <r>
      <rPr>
        <b/>
        <sz val="10"/>
        <rFont val="돋움"/>
        <family val="3"/>
        <charset val="129"/>
      </rPr>
      <t>분기</t>
    </r>
    <r>
      <rPr>
        <b/>
        <sz val="10"/>
        <rFont val="Calibri"/>
        <family val="2"/>
      </rPr>
      <t>(</t>
    </r>
    <r>
      <rPr>
        <b/>
        <sz val="10"/>
        <rFont val="돋움"/>
        <family val="3"/>
        <charset val="129"/>
      </rPr>
      <t>현재</t>
    </r>
    <r>
      <rPr>
        <b/>
        <sz val="10"/>
        <rFont val="Calibri"/>
        <family val="2"/>
      </rPr>
      <t>)</t>
    </r>
    <phoneticPr fontId="3" type="noConversion"/>
  </si>
  <si>
    <r>
      <rPr>
        <sz val="6"/>
        <rFont val="돋움"/>
        <family val="3"/>
        <charset val="129"/>
      </rPr>
      <t>현재</t>
    </r>
    <r>
      <rPr>
        <sz val="6"/>
        <rFont val="Calibri"/>
        <family val="2"/>
      </rPr>
      <t>(1</t>
    </r>
    <r>
      <rPr>
        <sz val="6"/>
        <rFont val="돋움"/>
        <family val="3"/>
        <charset val="129"/>
      </rPr>
      <t>분기</t>
    </r>
    <r>
      <rPr>
        <sz val="6"/>
        <rFont val="Calibri"/>
        <family val="2"/>
      </rPr>
      <t>)</t>
    </r>
    <r>
      <rPr>
        <sz val="6"/>
        <rFont val="돋움"/>
        <family val="3"/>
        <charset val="129"/>
      </rPr>
      <t>에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미래</t>
    </r>
    <r>
      <rPr>
        <sz val="6"/>
        <rFont val="Calibri"/>
        <family val="2"/>
      </rPr>
      <t xml:space="preserve"> 3</t>
    </r>
    <r>
      <rPr>
        <sz val="6"/>
        <rFont val="돋움"/>
        <family val="3"/>
        <charset val="129"/>
      </rPr>
      <t>분기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순이익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합계가</t>
    </r>
    <r>
      <rPr>
        <sz val="6"/>
        <rFont val="Calibri"/>
        <family val="2"/>
      </rPr>
      <t xml:space="preserve"> 3,000,000</t>
    </r>
    <r>
      <rPr>
        <sz val="6"/>
        <rFont val="돋움"/>
        <family val="3"/>
        <charset val="129"/>
      </rPr>
      <t>원이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되도록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이익과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지출을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계획하려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한다</t>
    </r>
    <r>
      <rPr>
        <sz val="6"/>
        <rFont val="Calibri"/>
        <family val="2"/>
      </rPr>
      <t>.</t>
    </r>
    <phoneticPr fontId="3" type="noConversion"/>
  </si>
  <si>
    <r>
      <t>(</t>
    </r>
    <r>
      <rPr>
        <sz val="6"/>
        <rFont val="돋움"/>
        <family val="3"/>
        <charset val="129"/>
      </rPr>
      <t>단</t>
    </r>
    <r>
      <rPr>
        <sz val="6"/>
        <rFont val="Calibri"/>
        <family val="2"/>
      </rPr>
      <t xml:space="preserve">, </t>
    </r>
    <r>
      <rPr>
        <sz val="6"/>
        <rFont val="돋움"/>
        <family val="3"/>
        <charset val="129"/>
      </rPr>
      <t>기타품목은</t>
    </r>
    <r>
      <rPr>
        <sz val="6"/>
        <rFont val="Calibri"/>
        <family val="2"/>
      </rPr>
      <t xml:space="preserve"> 500</t>
    </r>
    <r>
      <rPr>
        <sz val="6"/>
        <rFont val="돋움"/>
        <family val="3"/>
        <charset val="129"/>
      </rPr>
      <t>원으로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고정되고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임대료는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최소</t>
    </r>
    <r>
      <rPr>
        <sz val="6"/>
        <rFont val="Calibri"/>
        <family val="2"/>
      </rPr>
      <t xml:space="preserve"> 1,000,000</t>
    </r>
    <r>
      <rPr>
        <sz val="6"/>
        <rFont val="돋움"/>
        <family val="3"/>
        <charset val="129"/>
      </rPr>
      <t>원</t>
    </r>
    <r>
      <rPr>
        <sz val="6"/>
        <rFont val="Calibri"/>
        <family val="2"/>
      </rPr>
      <t xml:space="preserve">, </t>
    </r>
    <r>
      <rPr>
        <sz val="6"/>
        <rFont val="돋움"/>
        <family val="3"/>
        <charset val="129"/>
      </rPr>
      <t>전기세는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최소</t>
    </r>
    <r>
      <rPr>
        <sz val="6"/>
        <rFont val="Calibri"/>
        <family val="2"/>
      </rPr>
      <t xml:space="preserve"> 1,300</t>
    </r>
    <r>
      <rPr>
        <sz val="6"/>
        <rFont val="돋움"/>
        <family val="3"/>
        <charset val="129"/>
      </rPr>
      <t>원이며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판매이익과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광고이익은</t>
    </r>
    <r>
      <rPr>
        <sz val="6"/>
        <rFont val="Calibri"/>
        <family val="2"/>
      </rPr>
      <t xml:space="preserve"> 3,000,000</t>
    </r>
    <r>
      <rPr>
        <sz val="6"/>
        <rFont val="돋움"/>
        <family val="3"/>
        <charset val="129"/>
      </rPr>
      <t>원을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넘을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수</t>
    </r>
    <r>
      <rPr>
        <sz val="6"/>
        <rFont val="Calibri"/>
        <family val="2"/>
      </rPr>
      <t xml:space="preserve"> </t>
    </r>
    <r>
      <rPr>
        <sz val="6"/>
        <rFont val="돋움"/>
        <family val="3"/>
        <charset val="129"/>
      </rPr>
      <t>없다</t>
    </r>
    <r>
      <rPr>
        <sz val="6"/>
        <rFont val="Calibri"/>
        <family val="2"/>
      </rPr>
      <t>.)</t>
    </r>
    <phoneticPr fontId="3" type="noConversion"/>
  </si>
  <si>
    <r>
      <rPr>
        <sz val="10"/>
        <rFont val="돋움"/>
        <family val="3"/>
        <charset val="129"/>
      </rPr>
      <t>아래</t>
    </r>
    <r>
      <rPr>
        <sz val="10"/>
        <rFont val="Calibri"/>
        <family val="2"/>
      </rPr>
      <t xml:space="preserve"> </t>
    </r>
    <r>
      <rPr>
        <sz val="10"/>
        <rFont val="돋움"/>
        <family val="3"/>
        <charset val="129"/>
      </rPr>
      <t>목적함수를</t>
    </r>
    <r>
      <rPr>
        <sz val="10"/>
        <rFont val="Calibri"/>
        <family val="2"/>
      </rPr>
      <t xml:space="preserve"> </t>
    </r>
    <r>
      <rPr>
        <sz val="10"/>
        <rFont val="돋움"/>
        <family val="3"/>
        <charset val="129"/>
      </rPr>
      <t>최소화하는</t>
    </r>
    <r>
      <rPr>
        <sz val="10"/>
        <rFont val="Calibri"/>
        <family val="2"/>
      </rPr>
      <t xml:space="preserve"> X</t>
    </r>
    <r>
      <rPr>
        <sz val="10"/>
        <rFont val="돋움"/>
        <family val="3"/>
        <charset val="129"/>
      </rPr>
      <t>와</t>
    </r>
    <r>
      <rPr>
        <sz val="10"/>
        <rFont val="Calibri"/>
        <family val="2"/>
      </rPr>
      <t xml:space="preserve"> Y</t>
    </r>
    <r>
      <rPr>
        <sz val="10"/>
        <rFont val="돋움"/>
        <family val="3"/>
        <charset val="129"/>
      </rPr>
      <t>의</t>
    </r>
    <r>
      <rPr>
        <sz val="10"/>
        <rFont val="Calibri"/>
        <family val="2"/>
      </rPr>
      <t xml:space="preserve"> </t>
    </r>
    <r>
      <rPr>
        <sz val="10"/>
        <rFont val="돋움"/>
        <family val="3"/>
        <charset val="129"/>
      </rPr>
      <t>값을</t>
    </r>
    <r>
      <rPr>
        <sz val="10"/>
        <rFont val="Calibri"/>
        <family val="2"/>
      </rPr>
      <t xml:space="preserve"> </t>
    </r>
    <r>
      <rPr>
        <sz val="10"/>
        <rFont val="돋움"/>
        <family val="3"/>
        <charset val="129"/>
      </rPr>
      <t>찾아라</t>
    </r>
    <r>
      <rPr>
        <sz val="10"/>
        <rFont val="Calibri"/>
        <family val="2"/>
      </rPr>
      <t>.</t>
    </r>
    <phoneticPr fontId="3" type="noConversion"/>
  </si>
  <si>
    <t>X</t>
    <phoneticPr fontId="3" type="noConversion"/>
  </si>
  <si>
    <t>Y</t>
    <phoneticPr fontId="3" type="noConversion"/>
  </si>
  <si>
    <t>Control Variable</t>
    <phoneticPr fontId="3" type="noConversion"/>
  </si>
  <si>
    <t>Value</t>
    <phoneticPr fontId="3" type="noConversion"/>
  </si>
  <si>
    <t>Objective Function</t>
    <phoneticPr fontId="3" type="noConversion"/>
  </si>
  <si>
    <t>Z</t>
    <phoneticPr fontId="3" type="noConversion"/>
  </si>
  <si>
    <t>Constraints</t>
    <phoneticPr fontId="3" type="noConversion"/>
  </si>
  <si>
    <r>
      <t xml:space="preserve">2. </t>
    </r>
    <r>
      <rPr>
        <b/>
        <sz val="14"/>
        <rFont val="돋움"/>
        <family val="3"/>
        <charset val="129"/>
      </rPr>
      <t>엑셀</t>
    </r>
    <r>
      <rPr>
        <b/>
        <sz val="14"/>
        <rFont val="Calibri"/>
        <family val="2"/>
      </rPr>
      <t xml:space="preserve"> </t>
    </r>
    <r>
      <rPr>
        <b/>
        <sz val="14"/>
        <rFont val="돋움"/>
        <family val="3"/>
        <charset val="129"/>
      </rPr>
      <t>해찾기</t>
    </r>
    <phoneticPr fontId="3" type="noConversion"/>
  </si>
  <si>
    <r>
      <t xml:space="preserve">1. </t>
    </r>
    <r>
      <rPr>
        <b/>
        <sz val="14"/>
        <rFont val="돋움"/>
        <family val="3"/>
        <charset val="129"/>
      </rPr>
      <t>포트폴리오</t>
    </r>
    <r>
      <rPr>
        <b/>
        <sz val="14"/>
        <rFont val="Calibri"/>
        <family val="2"/>
      </rPr>
      <t xml:space="preserve"> </t>
    </r>
    <r>
      <rPr>
        <b/>
        <sz val="14"/>
        <rFont val="돋움"/>
        <family val="3"/>
        <charset val="129"/>
      </rPr>
      <t>행렬계산</t>
    </r>
    <phoneticPr fontId="3" type="noConversion"/>
  </si>
  <si>
    <r>
      <rPr>
        <sz val="9"/>
        <rFont val="돋움"/>
        <family val="3"/>
        <charset val="129"/>
      </rPr>
      <t>다음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행렬의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곱을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구하여라</t>
    </r>
    <r>
      <rPr>
        <sz val="9"/>
        <rFont val="Calibri"/>
        <family val="2"/>
      </rPr>
      <t>. (</t>
    </r>
    <r>
      <rPr>
        <sz val="9"/>
        <rFont val="돋움"/>
        <family val="3"/>
        <charset val="129"/>
      </rPr>
      <t>힌트</t>
    </r>
    <r>
      <rPr>
        <sz val="9"/>
        <rFont val="Calibri"/>
        <family val="2"/>
      </rPr>
      <t xml:space="preserve"> : mmult() </t>
    </r>
    <r>
      <rPr>
        <sz val="9"/>
        <rFont val="돋움"/>
        <family val="3"/>
        <charset val="129"/>
      </rPr>
      <t>함수를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사용하여라</t>
    </r>
    <r>
      <rPr>
        <sz val="9"/>
        <rFont val="Calibri"/>
        <family val="2"/>
      </rPr>
      <t>.)</t>
    </r>
    <phoneticPr fontId="3" type="noConversion"/>
  </si>
  <si>
    <r>
      <rPr>
        <b/>
        <sz val="10"/>
        <color theme="0"/>
        <rFont val="돋움"/>
        <family val="3"/>
        <charset val="129"/>
      </rPr>
      <t>문제</t>
    </r>
    <r>
      <rPr>
        <b/>
        <sz val="10"/>
        <color theme="0"/>
        <rFont val="Calibri"/>
        <family val="2"/>
      </rPr>
      <t xml:space="preserve"> 2</t>
    </r>
    <r>
      <rPr>
        <b/>
        <sz val="10"/>
        <color theme="0"/>
        <rFont val="돋움"/>
        <family val="3"/>
        <charset val="129"/>
      </rPr>
      <t>번</t>
    </r>
    <phoneticPr fontId="3" type="noConversion"/>
  </si>
  <si>
    <r>
      <rPr>
        <sz val="9"/>
        <rFont val="돋움"/>
        <family val="3"/>
        <charset val="129"/>
      </rPr>
      <t>다음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포트폴리오의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평균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수익률과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분산을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구하여라</t>
    </r>
    <r>
      <rPr>
        <sz val="9"/>
        <rFont val="Calibri"/>
        <family val="2"/>
      </rPr>
      <t xml:space="preserve">. </t>
    </r>
    <phoneticPr fontId="3" type="noConversion"/>
  </si>
  <si>
    <r>
      <t>(</t>
    </r>
    <r>
      <rPr>
        <sz val="9"/>
        <rFont val="돋움"/>
        <family val="3"/>
        <charset val="129"/>
      </rPr>
      <t>힌트</t>
    </r>
    <r>
      <rPr>
        <sz val="9"/>
        <rFont val="Calibri"/>
        <family val="2"/>
      </rPr>
      <t xml:space="preserve"> : mmult(), transpose() </t>
    </r>
    <r>
      <rPr>
        <sz val="9"/>
        <rFont val="돋움"/>
        <family val="3"/>
        <charset val="129"/>
      </rPr>
      <t>함수를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사용하여라</t>
    </r>
    <r>
      <rPr>
        <sz val="9"/>
        <rFont val="Calibri"/>
        <family val="2"/>
      </rPr>
      <t>. )</t>
    </r>
    <phoneticPr fontId="3" type="noConversion"/>
  </si>
  <si>
    <t>주의 Ctrl+Shift+Enter 이용할 것!</t>
    <phoneticPr fontId="3" type="noConversion"/>
  </si>
  <si>
    <t>종목</t>
    <phoneticPr fontId="3" type="noConversion"/>
  </si>
  <si>
    <t>삼성전자</t>
    <phoneticPr fontId="3" type="noConversion"/>
  </si>
  <si>
    <t>POSCO</t>
    <phoneticPr fontId="3" type="noConversion"/>
  </si>
  <si>
    <t>현대중공업</t>
    <phoneticPr fontId="3" type="noConversion"/>
  </si>
  <si>
    <t>셀트리온</t>
    <phoneticPr fontId="3" type="noConversion"/>
  </si>
  <si>
    <t>비중</t>
    <phoneticPr fontId="3" type="noConversion"/>
  </si>
  <si>
    <t>DATE</t>
    <phoneticPr fontId="3" type="noConversion"/>
  </si>
  <si>
    <t>삼성전자</t>
    <phoneticPr fontId="3" type="noConversion"/>
  </si>
  <si>
    <t>POSCO</t>
    <phoneticPr fontId="3" type="noConversion"/>
  </si>
  <si>
    <t>현대중공업</t>
    <phoneticPr fontId="3" type="noConversion"/>
  </si>
  <si>
    <t>셀트리온</t>
    <phoneticPr fontId="3" type="noConversion"/>
  </si>
  <si>
    <t>수익률(%)</t>
    <phoneticPr fontId="3" type="noConversion"/>
  </si>
  <si>
    <t>분산</t>
    <phoneticPr fontId="3" type="noConversion"/>
  </si>
  <si>
    <t>평균수익률</t>
    <phoneticPr fontId="3" type="noConversion"/>
  </si>
  <si>
    <t>포트폴리오</t>
    <phoneticPr fontId="3" type="noConversion"/>
  </si>
  <si>
    <t>공분산 행렬</t>
    <phoneticPr fontId="3" type="noConversion"/>
  </si>
  <si>
    <t>초과수익률(%)</t>
    <phoneticPr fontId="3" type="noConversion"/>
  </si>
  <si>
    <t>n</t>
    <phoneticPr fontId="3" type="noConversion"/>
  </si>
  <si>
    <t>X</t>
    <phoneticPr fontId="3" type="noConversion"/>
  </si>
  <si>
    <t>3. VBA Black-Scholes Option Pricing</t>
    <phoneticPr fontId="3" type="noConversion"/>
  </si>
  <si>
    <t>Excel VBA를 이용하여 European Option의 가격을 구하는 Function을 만들어라.</t>
    <phoneticPr fontId="3" type="noConversion"/>
  </si>
  <si>
    <t>이를 이용하여 아래 조건의 European Call Option과 Put Option의 가격을 구하여라.</t>
    <phoneticPr fontId="3" type="noConversion"/>
  </si>
  <si>
    <t>기초자산가격</t>
    <phoneticPr fontId="3" type="noConversion"/>
  </si>
  <si>
    <t>행사가격</t>
    <phoneticPr fontId="3" type="noConversion"/>
  </si>
  <si>
    <t>무위험 이자율</t>
    <phoneticPr fontId="3" type="noConversion"/>
  </si>
  <si>
    <t>만기까지 남은 기간</t>
    <phoneticPr fontId="3" type="noConversion"/>
  </si>
  <si>
    <t>기초자산의 변동성</t>
    <phoneticPr fontId="3" type="noConversion"/>
  </si>
  <si>
    <t>Variable</t>
    <phoneticPr fontId="3" type="noConversion"/>
  </si>
  <si>
    <t>Notation</t>
    <phoneticPr fontId="3" type="noConversion"/>
  </si>
  <si>
    <t>Value</t>
    <phoneticPr fontId="3" type="noConversion"/>
  </si>
  <si>
    <t>call</t>
    <phoneticPr fontId="3" type="noConversion"/>
  </si>
  <si>
    <t>put</t>
    <phoneticPr fontId="3" type="noConversion"/>
  </si>
  <si>
    <t>매 분기 이익과 지출은 전기보다 10%씩 증가한다고 가정할 때 1분기 판매이익, 광고이익, 임대료, 전기세가 얼마여야 하는가?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</si>
</sst>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(&quot;$&quot;* #,##0.00_);_(&quot;$&quot;* \(#,##0.00\);_(&quot;$&quot;* &quot;-&quot;??_);_(@_)"/>
    <numFmt numFmtId="177" formatCode="_(&quot;$&quot;* #,##0_);_(&quot;$&quot;* \(#,##0\);_(&quot;$&quot;* &quot;-&quot;??_);_(@_)"/>
    <numFmt numFmtId="178" formatCode="0.0%"/>
    <numFmt numFmtId="179" formatCode="_(* #,##0.00_);_(* \(#,##0.00\);_(* &quot;-&quot;??_);_(@_)"/>
    <numFmt numFmtId="180" formatCode="_(* #,##0_);_(* \(#,##0\);_(* &quot;-&quot;??_);_(@_)"/>
    <numFmt numFmtId="181" formatCode="_-[$₩-412]* #,##0_-;\-[$₩-412]* #,##0_-;_-[$₩-412]* &quot;-&quot;??_-;_-@_-"/>
    <numFmt numFmtId="182" formatCode="yyyy\-mm\-dd"/>
    <numFmt numFmtId="183" formatCode="0.000%"/>
  </numFmts>
  <fonts count="34" x14ac:knownFonts="1"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0"/>
      <name val="Calibri"/>
      <family val="2"/>
    </font>
    <font>
      <sz val="8"/>
      <name val="맑은 고딕"/>
      <family val="2"/>
      <charset val="129"/>
      <scheme val="minor"/>
    </font>
    <font>
      <i/>
      <sz val="10"/>
      <name val="Arial"/>
      <family val="2"/>
    </font>
    <font>
      <b/>
      <sz val="12"/>
      <name val="Calibri"/>
      <family val="2"/>
    </font>
    <font>
      <b/>
      <sz val="10"/>
      <name val="Calibri"/>
      <family val="2"/>
    </font>
    <font>
      <u/>
      <sz val="11"/>
      <color theme="10"/>
      <name val="맑은 고딕"/>
      <family val="2"/>
      <scheme val="minor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b/>
      <sz val="10"/>
      <color theme="5" tint="-0.249977111117893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Calibri"/>
      <family val="2"/>
    </font>
    <font>
      <b/>
      <sz val="10"/>
      <color theme="0"/>
      <name val="돋움"/>
      <family val="3"/>
      <charset val="129"/>
    </font>
    <font>
      <sz val="9"/>
      <name val="Calibri"/>
      <family val="2"/>
    </font>
    <font>
      <sz val="9"/>
      <name val="돋움"/>
      <family val="3"/>
      <charset val="129"/>
    </font>
    <font>
      <sz val="6"/>
      <name val="Calibri"/>
      <family val="2"/>
    </font>
    <font>
      <sz val="6"/>
      <name val="돋움"/>
      <family val="3"/>
      <charset val="129"/>
    </font>
    <font>
      <sz val="11"/>
      <name val="Calibri"/>
      <family val="2"/>
    </font>
    <font>
      <b/>
      <sz val="14"/>
      <name val="Calibri"/>
      <family val="2"/>
    </font>
    <font>
      <b/>
      <sz val="14"/>
      <name val="돋움"/>
      <family val="3"/>
      <charset val="129"/>
    </font>
    <font>
      <sz val="11"/>
      <color theme="1"/>
      <name val="Calibri"/>
      <family val="2"/>
    </font>
    <font>
      <sz val="8"/>
      <color rgb="FFFF0000"/>
      <name val="맑은 고딕"/>
      <family val="3"/>
      <charset val="129"/>
      <scheme val="minor"/>
    </font>
    <font>
      <sz val="8"/>
      <color theme="1"/>
      <name val="Arial"/>
      <family val="2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6"/>
      <color theme="1"/>
      <name val="Arial"/>
      <family val="2"/>
    </font>
    <font>
      <sz val="5.5"/>
      <color theme="1"/>
      <name val="맑은 고딕"/>
      <family val="3"/>
      <charset val="129"/>
      <scheme val="minor"/>
    </font>
    <font>
      <sz val="5.5"/>
      <color theme="1"/>
      <name val="맑은 고딕"/>
      <family val="2"/>
      <charset val="129"/>
      <scheme val="minor"/>
    </font>
    <font>
      <sz val="9"/>
      <color rgb="FFFF00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indexed="22"/>
      </bottom>
      <diagonal/>
    </border>
    <border>
      <left style="thin">
        <color rgb="FFFF0000"/>
      </left>
      <right style="thin">
        <color rgb="FFFF0000"/>
      </right>
      <top style="thin">
        <color indexed="22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indexed="64"/>
      </bottom>
      <diagonal/>
    </border>
    <border>
      <left style="thin">
        <color rgb="FFFF0000"/>
      </left>
      <right style="thin">
        <color rgb="FFFF0000"/>
      </right>
      <top/>
      <bottom/>
      <diagonal/>
    </border>
    <border>
      <left/>
      <right style="thin">
        <color rgb="FFFF0000"/>
      </right>
      <top style="thin">
        <color indexed="64"/>
      </top>
      <bottom/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rgb="FFFF0000"/>
      </right>
      <top style="thin">
        <color theme="1"/>
      </top>
      <bottom/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8">
    <xf numFmtId="0" fontId="0" fillId="0" borderId="0">
      <alignment vertical="center"/>
    </xf>
    <xf numFmtId="0" fontId="4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176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179" fontId="1" fillId="0" borderId="0" applyFont="0" applyFill="0" applyBorder="0" applyAlignment="0" applyProtection="0"/>
    <xf numFmtId="9" fontId="11" fillId="0" borderId="0" applyFont="0" applyFill="0" applyBorder="0" applyAlignment="0" applyProtection="0">
      <alignment vertical="center"/>
    </xf>
  </cellStyleXfs>
  <cellXfs count="108">
    <xf numFmtId="0" fontId="0" fillId="0" borderId="0" xfId="0">
      <alignment vertical="center"/>
    </xf>
    <xf numFmtId="182" fontId="23" fillId="6" borderId="0" xfId="0" applyNumberFormat="1" applyFont="1" applyFill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" fillId="0" borderId="0" xfId="3" applyFont="1"/>
    <xf numFmtId="0" fontId="2" fillId="0" borderId="0" xfId="3" applyFont="1" applyFill="1" applyBorder="1"/>
    <xf numFmtId="0" fontId="2" fillId="0" borderId="0" xfId="1" applyFont="1" applyFill="1" applyBorder="1"/>
    <xf numFmtId="0" fontId="6" fillId="0" borderId="0" xfId="3" applyFont="1" applyFill="1" applyBorder="1" applyAlignment="1"/>
    <xf numFmtId="176" fontId="6" fillId="0" borderId="1" xfId="4" applyFont="1" applyFill="1" applyBorder="1" applyAlignment="1">
      <alignment horizontal="right"/>
    </xf>
    <xf numFmtId="10" fontId="2" fillId="0" borderId="0" xfId="3" applyNumberFormat="1" applyFont="1" applyFill="1" applyBorder="1"/>
    <xf numFmtId="178" fontId="2" fillId="0" borderId="0" xfId="3" applyNumberFormat="1" applyFont="1" applyFill="1" applyBorder="1"/>
    <xf numFmtId="0" fontId="2" fillId="0" borderId="3" xfId="1" applyFont="1" applyFill="1" applyBorder="1" applyAlignment="1"/>
    <xf numFmtId="0" fontId="7" fillId="0" borderId="0" xfId="5"/>
    <xf numFmtId="0" fontId="2" fillId="0" borderId="0" xfId="4" applyNumberFormat="1" applyFont="1" applyFill="1" applyBorder="1" applyAlignment="1">
      <alignment horizontal="left" indent="2"/>
    </xf>
    <xf numFmtId="177" fontId="2" fillId="0" borderId="0" xfId="4" applyNumberFormat="1" applyFont="1" applyFill="1" applyBorder="1" applyAlignment="1"/>
    <xf numFmtId="0" fontId="6" fillId="0" borderId="0" xfId="2" applyNumberFormat="1" applyFont="1" applyFill="1" applyBorder="1" applyAlignment="1">
      <alignment horizontal="left" indent="1"/>
    </xf>
    <xf numFmtId="0" fontId="2" fillId="0" borderId="0" xfId="3" applyNumberFormat="1" applyFont="1" applyFill="1" applyBorder="1" applyAlignment="1">
      <alignment horizontal="left" indent="1"/>
    </xf>
    <xf numFmtId="180" fontId="2" fillId="0" borderId="0" xfId="3" applyNumberFormat="1" applyFont="1" applyFill="1" applyBorder="1" applyAlignment="1"/>
    <xf numFmtId="180" fontId="2" fillId="0" borderId="5" xfId="1" applyNumberFormat="1" applyFont="1" applyFill="1" applyBorder="1" applyAlignment="1"/>
    <xf numFmtId="177" fontId="2" fillId="0" borderId="4" xfId="1" applyNumberFormat="1" applyFont="1" applyFill="1" applyBorder="1" applyAlignment="1"/>
    <xf numFmtId="0" fontId="8" fillId="2" borderId="2" xfId="1" applyFont="1" applyFill="1" applyBorder="1" applyAlignment="1">
      <alignment horizontal="right"/>
    </xf>
    <xf numFmtId="0" fontId="8" fillId="0" borderId="0" xfId="4" applyNumberFormat="1" applyFont="1" applyFill="1" applyBorder="1" applyAlignment="1">
      <alignment horizontal="left" indent="2"/>
    </xf>
    <xf numFmtId="0" fontId="10" fillId="0" borderId="0" xfId="4" applyNumberFormat="1" applyFont="1" applyFill="1" applyBorder="1" applyAlignment="1">
      <alignment horizontal="left"/>
    </xf>
    <xf numFmtId="181" fontId="2" fillId="2" borderId="4" xfId="1" applyNumberFormat="1" applyFont="1" applyFill="1" applyBorder="1" applyAlignment="1"/>
    <xf numFmtId="181" fontId="2" fillId="0" borderId="0" xfId="4" applyNumberFormat="1" applyFont="1" applyFill="1" applyBorder="1" applyAlignment="1"/>
    <xf numFmtId="0" fontId="9" fillId="0" borderId="0" xfId="2" applyNumberFormat="1" applyFont="1" applyFill="1" applyBorder="1" applyAlignment="1">
      <alignment horizontal="left" indent="1"/>
    </xf>
    <xf numFmtId="0" fontId="16" fillId="0" borderId="0" xfId="3" applyFont="1"/>
    <xf numFmtId="0" fontId="17" fillId="0" borderId="0" xfId="3" applyFont="1"/>
    <xf numFmtId="181" fontId="2" fillId="2" borderId="7" xfId="1" applyNumberFormat="1" applyFont="1" applyFill="1" applyBorder="1" applyAlignment="1"/>
    <xf numFmtId="181" fontId="2" fillId="2" borderId="3" xfId="1" applyNumberFormat="1" applyFont="1" applyFill="1" applyBorder="1" applyAlignment="1"/>
    <xf numFmtId="181" fontId="2" fillId="2" borderId="8" xfId="1" applyNumberFormat="1" applyFont="1" applyFill="1" applyBorder="1" applyAlignment="1"/>
    <xf numFmtId="181" fontId="2" fillId="2" borderId="9" xfId="1" applyNumberFormat="1" applyFont="1" applyFill="1" applyBorder="1" applyAlignment="1"/>
    <xf numFmtId="181" fontId="2" fillId="0" borderId="10" xfId="4" applyNumberFormat="1" applyFont="1" applyFill="1" applyBorder="1" applyAlignment="1"/>
    <xf numFmtId="181" fontId="2" fillId="0" borderId="11" xfId="4" applyNumberFormat="1" applyFont="1" applyFill="1" applyBorder="1" applyAlignment="1"/>
    <xf numFmtId="0" fontId="2" fillId="0" borderId="12" xfId="3" applyFont="1" applyBorder="1"/>
    <xf numFmtId="0" fontId="2" fillId="0" borderId="0" xfId="3" applyFont="1" applyBorder="1"/>
    <xf numFmtId="0" fontId="2" fillId="0" borderId="6" xfId="3" applyFont="1" applyBorder="1"/>
    <xf numFmtId="0" fontId="2" fillId="0" borderId="10" xfId="3" applyFont="1" applyBorder="1"/>
    <xf numFmtId="0" fontId="2" fillId="0" borderId="11" xfId="3" applyFont="1" applyBorder="1"/>
    <xf numFmtId="0" fontId="2" fillId="0" borderId="13" xfId="3" applyFont="1" applyBorder="1"/>
    <xf numFmtId="0" fontId="2" fillId="0" borderId="14" xfId="3" applyFont="1" applyBorder="1"/>
    <xf numFmtId="0" fontId="2" fillId="0" borderId="15" xfId="3" applyFont="1" applyBorder="1"/>
    <xf numFmtId="0" fontId="0" fillId="0" borderId="0" xfId="0" applyAlignment="1">
      <alignment horizontal="center" vertical="center"/>
    </xf>
    <xf numFmtId="0" fontId="18" fillId="0" borderId="0" xfId="3" applyFont="1"/>
    <xf numFmtId="0" fontId="14" fillId="0" borderId="0" xfId="3" applyFont="1" applyAlignment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0" xfId="0" applyBorder="1">
      <alignment vertical="center"/>
    </xf>
    <xf numFmtId="0" fontId="0" fillId="0" borderId="16" xfId="0" applyBorder="1">
      <alignment vertical="center"/>
    </xf>
    <xf numFmtId="0" fontId="0" fillId="0" borderId="21" xfId="0" applyBorder="1">
      <alignment vertical="center"/>
    </xf>
    <xf numFmtId="0" fontId="0" fillId="0" borderId="15" xfId="0" applyBorder="1">
      <alignment vertical="center"/>
    </xf>
    <xf numFmtId="0" fontId="0" fillId="0" borderId="22" xfId="0" applyBorder="1">
      <alignment vertical="center"/>
    </xf>
    <xf numFmtId="0" fontId="21" fillId="0" borderId="0" xfId="0" applyFont="1">
      <alignment vertical="center"/>
    </xf>
    <xf numFmtId="0" fontId="22" fillId="0" borderId="0" xfId="0" applyFo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9" fontId="0" fillId="0" borderId="0" xfId="7" applyFont="1">
      <alignment vertical="center"/>
    </xf>
    <xf numFmtId="178" fontId="29" fillId="0" borderId="0" xfId="7" applyNumberFormat="1" applyFont="1" applyAlignment="1">
      <alignment horizontal="right" vertical="center"/>
    </xf>
    <xf numFmtId="9" fontId="29" fillId="0" borderId="0" xfId="7" applyNumberFormat="1" applyFont="1" applyBorder="1" applyAlignment="1">
      <alignment horizontal="right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>
      <alignment vertical="center"/>
    </xf>
    <xf numFmtId="178" fontId="29" fillId="0" borderId="18" xfId="7" applyNumberFormat="1" applyFont="1" applyBorder="1" applyAlignment="1">
      <alignment horizontal="right" vertical="center"/>
    </xf>
    <xf numFmtId="178" fontId="27" fillId="0" borderId="17" xfId="7" applyNumberFormat="1" applyFont="1" applyBorder="1">
      <alignment vertical="center"/>
    </xf>
    <xf numFmtId="178" fontId="27" fillId="0" borderId="18" xfId="7" applyNumberFormat="1" applyFont="1" applyBorder="1">
      <alignment vertical="center"/>
    </xf>
    <xf numFmtId="178" fontId="27" fillId="0" borderId="19" xfId="7" applyNumberFormat="1" applyFont="1" applyBorder="1">
      <alignment vertical="center"/>
    </xf>
    <xf numFmtId="178" fontId="27" fillId="0" borderId="20" xfId="7" applyNumberFormat="1" applyFont="1" applyBorder="1">
      <alignment vertical="center"/>
    </xf>
    <xf numFmtId="178" fontId="27" fillId="0" borderId="0" xfId="7" applyNumberFormat="1" applyFont="1" applyBorder="1">
      <alignment vertical="center"/>
    </xf>
    <xf numFmtId="178" fontId="27" fillId="0" borderId="16" xfId="7" applyNumberFormat="1" applyFont="1" applyBorder="1">
      <alignment vertical="center"/>
    </xf>
    <xf numFmtId="178" fontId="27" fillId="0" borderId="20" xfId="7" applyNumberFormat="1" applyFont="1" applyBorder="1" applyAlignment="1">
      <alignment vertical="center"/>
    </xf>
    <xf numFmtId="178" fontId="27" fillId="0" borderId="21" xfId="7" applyNumberFormat="1" applyFont="1" applyBorder="1">
      <alignment vertical="center"/>
    </xf>
    <xf numFmtId="178" fontId="27" fillId="0" borderId="15" xfId="7" applyNumberFormat="1" applyFont="1" applyBorder="1">
      <alignment vertical="center"/>
    </xf>
    <xf numFmtId="178" fontId="27" fillId="0" borderId="22" xfId="7" applyNumberFormat="1" applyFont="1" applyBorder="1">
      <alignment vertical="center"/>
    </xf>
    <xf numFmtId="0" fontId="32" fillId="0" borderId="23" xfId="0" applyFont="1" applyBorder="1" applyAlignment="1">
      <alignment horizontal="right" vertical="center"/>
    </xf>
    <xf numFmtId="0" fontId="32" fillId="0" borderId="0" xfId="0" applyFont="1" applyAlignment="1">
      <alignment vertical="center"/>
    </xf>
    <xf numFmtId="0" fontId="32" fillId="0" borderId="0" xfId="0" applyFont="1">
      <alignment vertical="center"/>
    </xf>
    <xf numFmtId="9" fontId="24" fillId="0" borderId="0" xfId="7" applyFont="1" applyAlignment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181" fontId="5" fillId="3" borderId="6" xfId="4" applyNumberFormat="1" applyFont="1" applyFill="1" applyBorder="1" applyAlignment="1">
      <alignment horizontal="right"/>
    </xf>
    <xf numFmtId="10" fontId="0" fillId="0" borderId="0" xfId="0" applyNumberFormat="1">
      <alignment vertical="center"/>
    </xf>
    <xf numFmtId="0" fontId="0" fillId="0" borderId="6" xfId="0" applyBorder="1">
      <alignment vertical="center"/>
    </xf>
    <xf numFmtId="0" fontId="0" fillId="0" borderId="0" xfId="0" applyAlignment="1">
      <alignment horizontal="center" vertical="center"/>
    </xf>
    <xf numFmtId="0" fontId="12" fillId="4" borderId="0" xfId="3" applyFont="1" applyFill="1" applyAlignment="1">
      <alignment horizontal="center" vertical="center"/>
    </xf>
    <xf numFmtId="0" fontId="19" fillId="7" borderId="0" xfId="3" applyFont="1" applyFill="1" applyAlignment="1">
      <alignment horizontal="center"/>
    </xf>
    <xf numFmtId="0" fontId="0" fillId="0" borderId="12" xfId="0" applyBorder="1" applyAlignment="1">
      <alignment horizontal="center" vertical="center"/>
    </xf>
    <xf numFmtId="0" fontId="28" fillId="0" borderId="0" xfId="0" applyFont="1" applyBorder="1" applyAlignment="1">
      <alignment horizontal="center" textRotation="90"/>
    </xf>
    <xf numFmtId="0" fontId="28" fillId="0" borderId="15" xfId="0" applyFont="1" applyBorder="1" applyAlignment="1">
      <alignment horizontal="center" textRotation="90"/>
    </xf>
    <xf numFmtId="0" fontId="30" fillId="0" borderId="0" xfId="0" applyFont="1" applyBorder="1" applyAlignment="1">
      <alignment horizontal="center" textRotation="90"/>
    </xf>
    <xf numFmtId="0" fontId="30" fillId="0" borderId="15" xfId="0" applyFont="1" applyBorder="1" applyAlignment="1">
      <alignment horizontal="center" textRotation="90"/>
    </xf>
    <xf numFmtId="0" fontId="27" fillId="0" borderId="0" xfId="0" applyFont="1" applyBorder="1" applyAlignment="1">
      <alignment horizontal="center" textRotation="90"/>
    </xf>
    <xf numFmtId="0" fontId="27" fillId="0" borderId="15" xfId="0" applyFont="1" applyBorder="1" applyAlignment="1">
      <alignment horizontal="center" textRotation="90"/>
    </xf>
    <xf numFmtId="0" fontId="27" fillId="0" borderId="23" xfId="0" applyFont="1" applyBorder="1" applyAlignment="1">
      <alignment horizontal="center" textRotation="90"/>
    </xf>
    <xf numFmtId="0" fontId="31" fillId="0" borderId="0" xfId="0" applyFont="1" applyBorder="1" applyAlignment="1">
      <alignment horizontal="center" textRotation="90"/>
    </xf>
    <xf numFmtId="0" fontId="30" fillId="0" borderId="23" xfId="0" applyFont="1" applyBorder="1" applyAlignment="1">
      <alignment horizontal="center" textRotation="90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0" fontId="26" fillId="0" borderId="15" xfId="7" applyNumberFormat="1" applyFont="1" applyBorder="1" applyAlignment="1">
      <alignment horizontal="center" vertical="center"/>
    </xf>
    <xf numFmtId="10" fontId="26" fillId="0" borderId="22" xfId="7" applyNumberFormat="1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183" fontId="26" fillId="0" borderId="18" xfId="7" applyNumberFormat="1" applyFont="1" applyBorder="1" applyAlignment="1">
      <alignment horizontal="center" vertical="center"/>
    </xf>
    <xf numFmtId="183" fontId="26" fillId="0" borderId="19" xfId="7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2" fillId="4" borderId="0" xfId="3" applyFont="1" applyFill="1" applyAlignment="1">
      <alignment horizontal="center"/>
    </xf>
    <xf numFmtId="0" fontId="19" fillId="5" borderId="0" xfId="3" applyFont="1" applyFill="1" applyAlignment="1">
      <alignment horizontal="center"/>
    </xf>
    <xf numFmtId="0" fontId="19" fillId="8" borderId="0" xfId="3" applyFont="1" applyFill="1" applyAlignment="1">
      <alignment horizontal="center"/>
    </xf>
    <xf numFmtId="0" fontId="0" fillId="0" borderId="23" xfId="0" applyBorder="1" applyAlignment="1">
      <alignment horizontal="center" vertical="center"/>
    </xf>
  </cellXfs>
  <cellStyles count="8">
    <cellStyle name="ColLevel_2" xfId="1" builtinId="2" iLevel="1"/>
    <cellStyle name="Comma 2" xfId="6"/>
    <cellStyle name="Currency 2" xfId="4"/>
    <cellStyle name="Normal 2" xfId="3"/>
    <cellStyle name="RowLevel_3" xfId="2" builtinId="1" iLevel="2"/>
    <cellStyle name="백분율" xfId="7" builtinId="5"/>
    <cellStyle name="표준" xfId="0" builtinId="0"/>
    <cellStyle name="하이퍼링크" xfId="5" builtinId="8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685800</xdr:colOff>
      <xdr:row>24</xdr:row>
      <xdr:rowOff>163568</xdr:rowOff>
    </xdr:from>
    <xdr:ext cx="1207767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685800" y="3500602"/>
              <a:ext cx="1207767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𝑋𝑌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−3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𝑋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685800" y="3500602"/>
              <a:ext cx="1207767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𝑋^2−𝑋𝑌+𝑌^2−3𝑋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3</xdr:col>
      <xdr:colOff>896007</xdr:colOff>
      <xdr:row>25</xdr:row>
      <xdr:rowOff>163568</xdr:rowOff>
    </xdr:from>
    <xdr:ext cx="84247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884886" y="3993275"/>
              <a:ext cx="84247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𝑍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884886" y="3993275"/>
              <a:ext cx="84247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𝑋^2+𝑌^2+𝑍^2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4</xdr:col>
      <xdr:colOff>9196</xdr:colOff>
      <xdr:row>29</xdr:row>
      <xdr:rowOff>5913</xdr:rowOff>
    </xdr:from>
    <xdr:ext cx="96936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3904593" y="4492516"/>
              <a:ext cx="9693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2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𝑌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−5≤0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3904593" y="4492516"/>
              <a:ext cx="9693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2𝑋+𝑌−5≤0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4</xdr:col>
      <xdr:colOff>9196</xdr:colOff>
      <xdr:row>30</xdr:row>
      <xdr:rowOff>9197</xdr:rowOff>
    </xdr:from>
    <xdr:ext cx="88979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3904593" y="4660025"/>
              <a:ext cx="88979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−2≤0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3904593" y="4660025"/>
              <a:ext cx="88979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𝑋+𝑍−2≤0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4</xdr:col>
      <xdr:colOff>9196</xdr:colOff>
      <xdr:row>31</xdr:row>
      <xdr:rowOff>12482</xdr:rowOff>
    </xdr:from>
    <xdr:ext cx="74007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3904593" y="4827534"/>
              <a:ext cx="7400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+1≤0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3904593" y="4827534"/>
              <a:ext cx="7400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−𝑋+1≤0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4</xdr:col>
      <xdr:colOff>9196</xdr:colOff>
      <xdr:row>32</xdr:row>
      <xdr:rowOff>15767</xdr:rowOff>
    </xdr:from>
    <xdr:ext cx="73411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3904593" y="4995043"/>
              <a:ext cx="7341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𝑌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+2≤0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3904593" y="4995043"/>
              <a:ext cx="7341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−𝑌+2≤0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4</xdr:col>
      <xdr:colOff>9196</xdr:colOff>
      <xdr:row>33</xdr:row>
      <xdr:rowOff>19051</xdr:rowOff>
    </xdr:from>
    <xdr:ext cx="48641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3904593" y="5162551"/>
              <a:ext cx="48641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≤0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3904593" y="5162551"/>
              <a:ext cx="48641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−𝑍≤0</a:t>
              </a:r>
              <a:endParaRPr lang="en-US" altLang="ko-KR" sz="1100" b="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271956</xdr:colOff>
      <xdr:row>6</xdr:row>
      <xdr:rowOff>25619</xdr:rowOff>
    </xdr:from>
    <xdr:ext cx="10926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2321473" y="1326274"/>
              <a:ext cx="1092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𝑆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2321473" y="1326274"/>
              <a:ext cx="1092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𝑆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265387</xdr:colOff>
      <xdr:row>7</xdr:row>
      <xdr:rowOff>32188</xdr:rowOff>
    </xdr:from>
    <xdr:ext cx="1346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2314904" y="1543050"/>
              <a:ext cx="1346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𝐾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2314904" y="1543050"/>
              <a:ext cx="1346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𝐾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271956</xdr:colOff>
      <xdr:row>8</xdr:row>
      <xdr:rowOff>45326</xdr:rowOff>
    </xdr:from>
    <xdr:ext cx="10201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2321473" y="1766395"/>
              <a:ext cx="10201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2321473" y="1766395"/>
              <a:ext cx="10201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𝑟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160284</xdr:colOff>
      <xdr:row>9</xdr:row>
      <xdr:rowOff>45326</xdr:rowOff>
    </xdr:from>
    <xdr:ext cx="35471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2209801" y="1976602"/>
              <a:ext cx="3547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𝜏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2209801" y="1976602"/>
              <a:ext cx="3547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𝑇−𝜏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252249</xdr:colOff>
      <xdr:row>10</xdr:row>
      <xdr:rowOff>5912</xdr:rowOff>
    </xdr:from>
    <xdr:ext cx="11785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2301766" y="2147395"/>
              <a:ext cx="11785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𝜎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2301766" y="2147395"/>
              <a:ext cx="11785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𝜎</a:t>
              </a:r>
              <a:endParaRPr lang="ko-KR" alt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12</xdr:row>
          <xdr:rowOff>85725</xdr:rowOff>
        </xdr:from>
        <xdr:to>
          <xdr:col>2</xdr:col>
          <xdr:colOff>457200</xdr:colOff>
          <xdr:row>13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79998168889431442"/>
  </sheetPr>
  <dimension ref="A1:V96"/>
  <sheetViews>
    <sheetView zoomScale="145" zoomScaleNormal="145" workbookViewId="0">
      <selection activeCell="X14" sqref="X14"/>
    </sheetView>
  </sheetViews>
  <sheetFormatPr defaultColWidth="3.625" defaultRowHeight="16.5" x14ac:dyDescent="0.3"/>
  <cols>
    <col min="1" max="6" width="3.625" customWidth="1"/>
    <col min="8" max="12" width="3.625" customWidth="1"/>
    <col min="19" max="22" width="6.5" bestFit="1" customWidth="1"/>
  </cols>
  <sheetData>
    <row r="1" spans="1:17" ht="19.5" x14ac:dyDescent="0.3">
      <c r="A1" s="84" t="s">
        <v>28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</row>
    <row r="3" spans="1:17" x14ac:dyDescent="0.25">
      <c r="A3" s="83" t="s">
        <v>14</v>
      </c>
      <c r="B3" s="83"/>
      <c r="C3" s="43" t="s">
        <v>29</v>
      </c>
      <c r="D3" s="42"/>
      <c r="E3" s="3"/>
    </row>
    <row r="4" spans="1:17" x14ac:dyDescent="0.2">
      <c r="A4" s="3"/>
      <c r="B4" s="3"/>
      <c r="C4" s="26"/>
      <c r="D4" s="3"/>
      <c r="E4" s="3"/>
    </row>
    <row r="5" spans="1:17" x14ac:dyDescent="0.3">
      <c r="B5" s="41">
        <v>2</v>
      </c>
      <c r="C5" s="41">
        <v>4</v>
      </c>
      <c r="D5" s="41">
        <v>9</v>
      </c>
      <c r="F5" s="41">
        <v>5</v>
      </c>
      <c r="G5" s="41">
        <v>5</v>
      </c>
      <c r="H5" s="41">
        <v>2</v>
      </c>
      <c r="J5" s="44"/>
      <c r="K5" s="45"/>
      <c r="L5" s="46"/>
    </row>
    <row r="6" spans="1:17" x14ac:dyDescent="0.3">
      <c r="B6" s="41">
        <v>1</v>
      </c>
      <c r="C6" s="41">
        <v>2</v>
      </c>
      <c r="D6" s="41">
        <v>1</v>
      </c>
      <c r="E6" s="41" t="s">
        <v>52</v>
      </c>
      <c r="F6" s="41">
        <v>2</v>
      </c>
      <c r="G6" s="41">
        <v>2</v>
      </c>
      <c r="H6" s="41">
        <v>1</v>
      </c>
      <c r="I6" s="41" t="str">
        <f>"="</f>
        <v>=</v>
      </c>
      <c r="J6" s="47"/>
      <c r="K6" s="48"/>
      <c r="L6" s="49"/>
    </row>
    <row r="7" spans="1:17" x14ac:dyDescent="0.3">
      <c r="B7" s="41">
        <v>3</v>
      </c>
      <c r="C7" s="41">
        <v>0</v>
      </c>
      <c r="D7" s="41">
        <v>2</v>
      </c>
      <c r="F7" s="41">
        <v>1</v>
      </c>
      <c r="G7" s="41">
        <v>3</v>
      </c>
      <c r="H7" s="41">
        <v>3</v>
      </c>
      <c r="J7" s="50"/>
      <c r="K7" s="51"/>
      <c r="L7" s="52"/>
    </row>
    <row r="8" spans="1:17" x14ac:dyDescent="0.3">
      <c r="J8" s="54" t="s">
        <v>33</v>
      </c>
    </row>
    <row r="10" spans="1:17" x14ac:dyDescent="0.25">
      <c r="A10" s="83" t="s">
        <v>30</v>
      </c>
      <c r="B10" s="83"/>
      <c r="C10" s="43" t="s">
        <v>31</v>
      </c>
      <c r="D10" s="42"/>
      <c r="E10" s="3"/>
    </row>
    <row r="11" spans="1:17" x14ac:dyDescent="0.3">
      <c r="C11" s="43" t="s">
        <v>32</v>
      </c>
      <c r="D11" s="43"/>
      <c r="E11" s="53"/>
      <c r="F11" s="53"/>
      <c r="G11" s="53"/>
      <c r="H11" s="53"/>
      <c r="I11" s="53"/>
      <c r="J11" s="53"/>
      <c r="K11" s="53"/>
      <c r="L11" s="53"/>
      <c r="M11" s="53"/>
    </row>
    <row r="13" spans="1:17" x14ac:dyDescent="0.3">
      <c r="B13" s="85" t="s">
        <v>34</v>
      </c>
      <c r="C13" s="85"/>
      <c r="D13" s="85"/>
      <c r="E13" s="85" t="s">
        <v>39</v>
      </c>
      <c r="F13" s="85"/>
      <c r="H13" t="s">
        <v>47</v>
      </c>
      <c r="M13" s="74">
        <v>3</v>
      </c>
      <c r="N13" s="55" t="s">
        <v>49</v>
      </c>
    </row>
    <row r="14" spans="1:17" x14ac:dyDescent="0.3">
      <c r="B14" s="82" t="s">
        <v>35</v>
      </c>
      <c r="C14" s="82"/>
      <c r="D14" s="82"/>
      <c r="F14" s="76">
        <v>0.5</v>
      </c>
      <c r="H14" s="90" t="s">
        <v>41</v>
      </c>
      <c r="I14" s="86" t="s">
        <v>42</v>
      </c>
      <c r="J14" s="88" t="s">
        <v>43</v>
      </c>
      <c r="K14" s="86" t="s">
        <v>44</v>
      </c>
      <c r="N14" s="63"/>
      <c r="O14" s="64"/>
      <c r="P14" s="64"/>
      <c r="Q14" s="65"/>
    </row>
    <row r="15" spans="1:17" ht="16.5" customHeight="1" x14ac:dyDescent="0.3">
      <c r="B15" s="82" t="s">
        <v>36</v>
      </c>
      <c r="C15" s="82"/>
      <c r="D15" s="82"/>
      <c r="F15" s="76">
        <v>0.3</v>
      </c>
      <c r="G15" s="75">
        <v>1</v>
      </c>
      <c r="H15" s="91"/>
      <c r="I15" s="87"/>
      <c r="J15" s="89"/>
      <c r="K15" s="87"/>
      <c r="N15" s="66"/>
      <c r="O15" s="67"/>
      <c r="P15" s="67"/>
      <c r="Q15" s="68"/>
    </row>
    <row r="16" spans="1:17" x14ac:dyDescent="0.3">
      <c r="B16" s="82" t="s">
        <v>37</v>
      </c>
      <c r="C16" s="82"/>
      <c r="D16" s="82"/>
      <c r="F16" s="76">
        <v>0.1</v>
      </c>
      <c r="G16" s="49"/>
      <c r="H16" s="67"/>
      <c r="I16" s="67"/>
      <c r="J16" s="67"/>
      <c r="K16" s="67"/>
      <c r="L16" s="47"/>
      <c r="N16" s="69"/>
      <c r="O16" s="67"/>
      <c r="P16" s="67"/>
      <c r="Q16" s="68"/>
    </row>
    <row r="17" spans="1:22" x14ac:dyDescent="0.3">
      <c r="B17" s="82" t="s">
        <v>38</v>
      </c>
      <c r="C17" s="82"/>
      <c r="D17" s="82"/>
      <c r="F17" s="76">
        <v>0.1</v>
      </c>
      <c r="H17" s="45"/>
      <c r="I17" s="45"/>
      <c r="J17" s="45"/>
      <c r="K17" s="45"/>
      <c r="N17" s="70"/>
      <c r="O17" s="71"/>
      <c r="P17" s="71"/>
      <c r="Q17" s="72"/>
    </row>
    <row r="18" spans="1:22" ht="16.5" customHeight="1" x14ac:dyDescent="0.3">
      <c r="A18" s="48"/>
      <c r="B18" s="48"/>
      <c r="S18" s="80"/>
      <c r="T18" s="80"/>
      <c r="U18" s="80"/>
      <c r="V18" s="80"/>
    </row>
    <row r="19" spans="1:22" ht="16.5" customHeight="1" x14ac:dyDescent="0.3">
      <c r="A19" s="48" t="s">
        <v>51</v>
      </c>
      <c r="B19" s="81">
        <v>74</v>
      </c>
      <c r="C19" s="99" t="s">
        <v>45</v>
      </c>
      <c r="D19" s="99"/>
      <c r="E19" s="99"/>
      <c r="F19" s="99"/>
      <c r="H19" s="99" t="s">
        <v>50</v>
      </c>
      <c r="I19" s="99"/>
      <c r="J19" s="99"/>
      <c r="K19" s="99"/>
      <c r="M19" s="75">
        <v>4</v>
      </c>
      <c r="N19" s="55" t="s">
        <v>48</v>
      </c>
    </row>
    <row r="20" spans="1:22" ht="16.5" customHeight="1" x14ac:dyDescent="0.3">
      <c r="A20" s="56"/>
      <c r="B20" s="56"/>
      <c r="C20" s="90" t="s">
        <v>41</v>
      </c>
      <c r="D20" s="90" t="s">
        <v>42</v>
      </c>
      <c r="E20" s="93" t="s">
        <v>43</v>
      </c>
      <c r="F20" s="90" t="s">
        <v>44</v>
      </c>
      <c r="G20" s="56"/>
      <c r="H20" s="90" t="s">
        <v>41</v>
      </c>
      <c r="I20" s="86" t="s">
        <v>42</v>
      </c>
      <c r="J20" s="88" t="s">
        <v>43</v>
      </c>
      <c r="K20" s="86" t="s">
        <v>44</v>
      </c>
      <c r="N20" s="102" t="s">
        <v>47</v>
      </c>
      <c r="O20" s="103"/>
      <c r="P20" s="103"/>
      <c r="Q20" s="100"/>
      <c r="R20" s="101"/>
    </row>
    <row r="21" spans="1:22" x14ac:dyDescent="0.3">
      <c r="A21" s="2" t="s">
        <v>40</v>
      </c>
      <c r="B21" s="2"/>
      <c r="C21" s="92"/>
      <c r="D21" s="92" t="s">
        <v>42</v>
      </c>
      <c r="E21" s="94" t="s">
        <v>43</v>
      </c>
      <c r="F21" s="92" t="s">
        <v>44</v>
      </c>
      <c r="G21" s="73">
        <v>2</v>
      </c>
      <c r="H21" s="91"/>
      <c r="I21" s="87"/>
      <c r="J21" s="89"/>
      <c r="K21" s="87"/>
      <c r="N21" s="95" t="s">
        <v>46</v>
      </c>
      <c r="O21" s="96"/>
      <c r="P21" s="96"/>
      <c r="Q21" s="97"/>
      <c r="R21" s="98"/>
    </row>
    <row r="22" spans="1:22" x14ac:dyDescent="0.3">
      <c r="A22" s="1">
        <v>40543</v>
      </c>
      <c r="B22" s="1"/>
      <c r="C22" s="59">
        <v>0.1489</v>
      </c>
      <c r="D22" s="59">
        <v>7.1500000000000008E-2</v>
      </c>
      <c r="E22" s="59">
        <v>0.1925</v>
      </c>
      <c r="F22" s="59">
        <v>3.56E-2</v>
      </c>
      <c r="G22" s="61"/>
      <c r="H22" s="59"/>
      <c r="I22" s="59"/>
      <c r="J22" s="59"/>
      <c r="K22" s="59"/>
      <c r="L22" s="47"/>
    </row>
    <row r="23" spans="1:22" x14ac:dyDescent="0.3">
      <c r="A23" s="1">
        <v>40574</v>
      </c>
      <c r="B23" s="1"/>
      <c r="C23" s="59">
        <v>3.3700000000000001E-2</v>
      </c>
      <c r="D23" s="59">
        <v>-6.7799999999999999E-2</v>
      </c>
      <c r="E23" s="59">
        <v>9.4800000000000009E-2</v>
      </c>
      <c r="F23" s="59">
        <v>7.1599999999999997E-2</v>
      </c>
      <c r="G23" s="49"/>
      <c r="H23" s="59"/>
      <c r="I23" s="59"/>
      <c r="J23" s="59"/>
      <c r="K23" s="59"/>
      <c r="L23" s="47"/>
    </row>
    <row r="24" spans="1:22" x14ac:dyDescent="0.3">
      <c r="A24" s="1">
        <v>40602</v>
      </c>
      <c r="B24" s="1"/>
      <c r="C24" s="59">
        <v>-5.91E-2</v>
      </c>
      <c r="D24" s="59">
        <v>1.32E-2</v>
      </c>
      <c r="E24" s="59">
        <v>-0.10310000000000001</v>
      </c>
      <c r="F24" s="59">
        <v>-0.1072</v>
      </c>
      <c r="G24" s="49"/>
      <c r="H24" s="59"/>
      <c r="I24" s="59"/>
      <c r="J24" s="59"/>
      <c r="K24" s="59"/>
      <c r="L24" s="47"/>
    </row>
    <row r="25" spans="1:22" x14ac:dyDescent="0.3">
      <c r="A25" s="1">
        <v>40633</v>
      </c>
      <c r="B25" s="1"/>
      <c r="C25" s="59">
        <v>9.7999999999999997E-3</v>
      </c>
      <c r="D25" s="59">
        <v>9.7799999999999998E-2</v>
      </c>
      <c r="E25" s="59">
        <v>0.19079999999999997</v>
      </c>
      <c r="F25" s="59">
        <v>8.5800000000000001E-2</v>
      </c>
      <c r="G25" s="49"/>
      <c r="H25" s="59"/>
      <c r="I25" s="59"/>
      <c r="J25" s="59"/>
      <c r="K25" s="59"/>
      <c r="L25" s="47"/>
    </row>
    <row r="26" spans="1:22" x14ac:dyDescent="0.3">
      <c r="A26" s="1">
        <v>40663</v>
      </c>
      <c r="B26" s="1"/>
      <c r="C26" s="59">
        <v>-4.1799999999999997E-2</v>
      </c>
      <c r="D26" s="59">
        <v>-7.3300000000000004E-2</v>
      </c>
      <c r="E26" s="59">
        <v>3.2799999999999996E-2</v>
      </c>
      <c r="F26" s="59">
        <v>5.4600000000000003E-2</v>
      </c>
      <c r="G26" s="49"/>
      <c r="H26" s="59"/>
      <c r="I26" s="59"/>
      <c r="J26" s="59"/>
      <c r="K26" s="59"/>
      <c r="L26" s="47"/>
    </row>
    <row r="27" spans="1:22" x14ac:dyDescent="0.3">
      <c r="A27" s="1">
        <v>40694</v>
      </c>
      <c r="B27" s="1"/>
      <c r="C27" s="59">
        <v>1.01E-2</v>
      </c>
      <c r="D27" s="59">
        <v>-6.5199999999999994E-2</v>
      </c>
      <c r="E27" s="59">
        <v>-5.6100000000000004E-2</v>
      </c>
      <c r="F27" s="59">
        <v>-2.7000000000000001E-3</v>
      </c>
      <c r="G27" s="49"/>
      <c r="H27" s="59"/>
      <c r="I27" s="59"/>
      <c r="J27" s="59"/>
      <c r="K27" s="59"/>
      <c r="L27" s="47"/>
    </row>
    <row r="28" spans="1:22" x14ac:dyDescent="0.3">
      <c r="A28" s="1">
        <v>40724</v>
      </c>
      <c r="B28" s="1"/>
      <c r="C28" s="59">
        <v>-8.43E-2</v>
      </c>
      <c r="D28" s="59">
        <v>6.0599999999999994E-2</v>
      </c>
      <c r="E28" s="59">
        <v>-0.12179999999999999</v>
      </c>
      <c r="F28" s="59">
        <v>0.2077</v>
      </c>
      <c r="G28" s="49"/>
      <c r="H28" s="59"/>
      <c r="I28" s="59"/>
      <c r="J28" s="59"/>
      <c r="K28" s="59"/>
      <c r="L28" s="47"/>
    </row>
    <row r="29" spans="1:22" x14ac:dyDescent="0.3">
      <c r="A29" s="1">
        <v>40755</v>
      </c>
      <c r="B29" s="1"/>
      <c r="C29" s="59">
        <v>2.18E-2</v>
      </c>
      <c r="D29" s="59">
        <v>1.1000000000000001E-3</v>
      </c>
      <c r="E29" s="59">
        <v>-0.08</v>
      </c>
      <c r="F29" s="59">
        <v>8.5999999999999993E-2</v>
      </c>
      <c r="G29" s="49"/>
      <c r="H29" s="59"/>
      <c r="I29" s="59"/>
      <c r="J29" s="59"/>
      <c r="K29" s="59"/>
      <c r="L29" s="47"/>
    </row>
    <row r="30" spans="1:22" x14ac:dyDescent="0.3">
      <c r="A30" s="1">
        <v>40786</v>
      </c>
      <c r="B30" s="1"/>
      <c r="C30" s="59">
        <v>-0.11849999999999999</v>
      </c>
      <c r="D30" s="59">
        <v>-0.12920000000000001</v>
      </c>
      <c r="E30" s="59">
        <v>-0.1507</v>
      </c>
      <c r="F30" s="59">
        <v>-3.1200000000000002E-2</v>
      </c>
      <c r="G30" s="49"/>
      <c r="H30" s="59"/>
      <c r="I30" s="59"/>
      <c r="J30" s="59"/>
      <c r="K30" s="59"/>
      <c r="L30" s="47"/>
    </row>
    <row r="31" spans="1:22" x14ac:dyDescent="0.3">
      <c r="A31" s="1">
        <v>40816</v>
      </c>
      <c r="B31" s="1"/>
      <c r="C31" s="59">
        <v>0.129</v>
      </c>
      <c r="D31" s="59">
        <v>-8.2799999999999999E-2</v>
      </c>
      <c r="E31" s="59">
        <v>-0.18899999999999997</v>
      </c>
      <c r="F31" s="59">
        <v>-5.0499999999999996E-2</v>
      </c>
      <c r="G31" s="49"/>
      <c r="H31" s="59"/>
      <c r="I31" s="59"/>
      <c r="J31" s="59"/>
      <c r="K31" s="59"/>
      <c r="L31" s="47"/>
    </row>
    <row r="32" spans="1:22" x14ac:dyDescent="0.3">
      <c r="A32" s="1">
        <v>40847</v>
      </c>
      <c r="B32" s="1"/>
      <c r="C32" s="59">
        <v>0.15240000000000001</v>
      </c>
      <c r="D32" s="59">
        <v>4.8499999999999995E-2</v>
      </c>
      <c r="E32" s="59">
        <v>7.6499999999999999E-2</v>
      </c>
      <c r="F32" s="59">
        <v>-0.14610000000000001</v>
      </c>
      <c r="G32" s="49"/>
      <c r="H32" s="59"/>
      <c r="I32" s="59"/>
      <c r="J32" s="59"/>
      <c r="K32" s="59"/>
      <c r="L32" s="47"/>
    </row>
    <row r="33" spans="1:12" x14ac:dyDescent="0.3">
      <c r="A33" s="1">
        <v>40877</v>
      </c>
      <c r="B33" s="1"/>
      <c r="C33" s="59">
        <v>3.7200000000000004E-2</v>
      </c>
      <c r="D33" s="59">
        <v>-4.24E-2</v>
      </c>
      <c r="E33" s="59">
        <v>-0.11070000000000001</v>
      </c>
      <c r="F33" s="59">
        <v>-3.4500000000000003E-2</v>
      </c>
      <c r="G33" s="49"/>
      <c r="H33" s="59"/>
      <c r="I33" s="59"/>
      <c r="J33" s="59"/>
      <c r="K33" s="59"/>
      <c r="L33" s="47"/>
    </row>
    <row r="34" spans="1:12" x14ac:dyDescent="0.3">
      <c r="A34" s="1">
        <v>40908</v>
      </c>
      <c r="B34" s="1"/>
      <c r="C34" s="59">
        <v>5.3800000000000001E-2</v>
      </c>
      <c r="D34" s="59">
        <v>2.0099999999999996E-2</v>
      </c>
      <c r="E34" s="59">
        <v>-4.4600000000000001E-2</v>
      </c>
      <c r="F34" s="59">
        <v>-2.7000000000000001E-3</v>
      </c>
      <c r="G34" s="49"/>
      <c r="H34" s="59"/>
      <c r="I34" s="59"/>
      <c r="J34" s="59"/>
      <c r="K34" s="59"/>
      <c r="L34" s="47"/>
    </row>
    <row r="35" spans="1:12" x14ac:dyDescent="0.3">
      <c r="A35" s="1">
        <v>40939</v>
      </c>
      <c r="B35" s="1"/>
      <c r="C35" s="59">
        <v>4.6300000000000001E-2</v>
      </c>
      <c r="D35" s="59">
        <v>9.0800000000000006E-2</v>
      </c>
      <c r="E35" s="59">
        <v>0.21210000000000001</v>
      </c>
      <c r="F35" s="59">
        <v>3.44E-2</v>
      </c>
      <c r="G35" s="49"/>
      <c r="H35" s="59"/>
      <c r="I35" s="59"/>
      <c r="J35" s="59"/>
      <c r="K35" s="59"/>
      <c r="L35" s="47"/>
    </row>
    <row r="36" spans="1:12" x14ac:dyDescent="0.3">
      <c r="A36" s="1">
        <v>40968</v>
      </c>
      <c r="B36" s="1"/>
      <c r="C36" s="59">
        <v>8.9399999999999993E-2</v>
      </c>
      <c r="D36" s="59">
        <v>3.5999999999999999E-3</v>
      </c>
      <c r="E36" s="59">
        <v>8.9900000000000008E-2</v>
      </c>
      <c r="F36" s="59">
        <v>-6.7900000000000002E-2</v>
      </c>
      <c r="G36" s="49"/>
      <c r="H36" s="59"/>
      <c r="I36" s="59"/>
      <c r="J36" s="59"/>
      <c r="K36" s="59"/>
      <c r="L36" s="47"/>
    </row>
    <row r="37" spans="1:12" x14ac:dyDescent="0.3">
      <c r="A37" s="1">
        <v>40999</v>
      </c>
      <c r="B37" s="1"/>
      <c r="C37" s="59">
        <v>5.7200000000000001E-2</v>
      </c>
      <c r="D37" s="59">
        <v>-8.6500000000000007E-2</v>
      </c>
      <c r="E37" s="59">
        <v>-5.2999999999999999E-2</v>
      </c>
      <c r="F37" s="59">
        <v>5.57E-2</v>
      </c>
      <c r="G37" s="49"/>
      <c r="H37" s="59"/>
      <c r="I37" s="59"/>
      <c r="J37" s="59"/>
      <c r="K37" s="59"/>
      <c r="L37" s="47"/>
    </row>
    <row r="38" spans="1:12" x14ac:dyDescent="0.3">
      <c r="A38" s="1">
        <v>41029</v>
      </c>
      <c r="B38" s="1"/>
      <c r="C38" s="59">
        <v>9.0200000000000002E-2</v>
      </c>
      <c r="D38" s="59">
        <v>-1.18E-2</v>
      </c>
      <c r="E38" s="59">
        <v>-0.1198</v>
      </c>
      <c r="F38" s="59">
        <v>-0.13800000000000001</v>
      </c>
      <c r="G38" s="49"/>
      <c r="H38" s="59"/>
      <c r="I38" s="59"/>
      <c r="J38" s="59"/>
      <c r="K38" s="59"/>
      <c r="L38" s="47"/>
    </row>
    <row r="39" spans="1:12" x14ac:dyDescent="0.3">
      <c r="A39" s="1">
        <v>41060</v>
      </c>
      <c r="B39" s="1"/>
      <c r="C39" s="59">
        <v>-0.1288</v>
      </c>
      <c r="D39" s="59">
        <v>-3.6000000000000004E-2</v>
      </c>
      <c r="E39" s="59">
        <v>-5.6500000000000002E-2</v>
      </c>
      <c r="F39" s="59">
        <v>0.57350000000000001</v>
      </c>
      <c r="G39" s="49"/>
      <c r="H39" s="59"/>
      <c r="I39" s="59"/>
      <c r="J39" s="59"/>
      <c r="K39" s="59"/>
      <c r="L39" s="47"/>
    </row>
    <row r="40" spans="1:12" x14ac:dyDescent="0.3">
      <c r="A40" s="1">
        <v>41090</v>
      </c>
      <c r="B40" s="1"/>
      <c r="C40" s="59">
        <v>-8.3000000000000001E-3</v>
      </c>
      <c r="D40" s="59">
        <v>4.0999999999999995E-3</v>
      </c>
      <c r="E40" s="59">
        <v>-3.56E-2</v>
      </c>
      <c r="F40" s="59">
        <v>-9.69E-2</v>
      </c>
      <c r="G40" s="49"/>
      <c r="H40" s="59"/>
      <c r="I40" s="59"/>
      <c r="J40" s="59"/>
      <c r="K40" s="59"/>
      <c r="L40" s="47"/>
    </row>
    <row r="41" spans="1:12" x14ac:dyDescent="0.3">
      <c r="A41" s="1">
        <v>41121</v>
      </c>
      <c r="B41" s="1"/>
      <c r="C41" s="59">
        <v>8.9900000000000008E-2</v>
      </c>
      <c r="D41" s="59">
        <v>2.8000000000000004E-3</v>
      </c>
      <c r="E41" s="59">
        <v>-6.0199999999999997E-2</v>
      </c>
      <c r="F41" s="59">
        <v>-7.0999999999999994E-2</v>
      </c>
      <c r="G41" s="49"/>
      <c r="H41" s="59"/>
      <c r="I41" s="59"/>
      <c r="J41" s="59"/>
      <c r="K41" s="59"/>
      <c r="L41" s="47"/>
    </row>
    <row r="42" spans="1:12" x14ac:dyDescent="0.3">
      <c r="A42" s="1">
        <v>41152</v>
      </c>
      <c r="B42" s="1"/>
      <c r="C42" s="59">
        <v>-5.8099999999999999E-2</v>
      </c>
      <c r="D42" s="59">
        <v>1.23E-2</v>
      </c>
      <c r="E42" s="59">
        <v>-4.3400000000000001E-2</v>
      </c>
      <c r="F42" s="59">
        <v>7.0999999999999994E-2</v>
      </c>
      <c r="G42" s="49"/>
      <c r="H42" s="59"/>
      <c r="I42" s="59"/>
      <c r="J42" s="59"/>
      <c r="K42" s="59"/>
      <c r="L42" s="47"/>
    </row>
    <row r="43" spans="1:12" x14ac:dyDescent="0.3">
      <c r="A43" s="1">
        <v>41182</v>
      </c>
      <c r="B43" s="1"/>
      <c r="C43" s="59">
        <v>9.1600000000000001E-2</v>
      </c>
      <c r="D43" s="59">
        <v>-9.4999999999999998E-3</v>
      </c>
      <c r="E43" s="59">
        <v>9.0700000000000003E-2</v>
      </c>
      <c r="F43" s="59">
        <v>-7.1300000000000002E-2</v>
      </c>
      <c r="G43" s="49"/>
      <c r="H43" s="59"/>
      <c r="I43" s="59"/>
      <c r="J43" s="59"/>
      <c r="K43" s="59"/>
      <c r="L43" s="47"/>
    </row>
    <row r="44" spans="1:12" x14ac:dyDescent="0.3">
      <c r="A44" s="1">
        <v>41213</v>
      </c>
      <c r="B44" s="1"/>
      <c r="C44" s="59">
        <v>-2.6699999999999998E-2</v>
      </c>
      <c r="D44" s="59">
        <v>-6.0199999999999997E-2</v>
      </c>
      <c r="E44" s="59">
        <v>-9.3100000000000002E-2</v>
      </c>
      <c r="F44" s="59">
        <v>-4.1100000000000005E-2</v>
      </c>
      <c r="G44" s="49"/>
      <c r="H44" s="59"/>
      <c r="I44" s="59"/>
      <c r="J44" s="59"/>
      <c r="K44" s="59"/>
      <c r="L44" s="47"/>
    </row>
    <row r="45" spans="1:12" x14ac:dyDescent="0.3">
      <c r="A45" s="1">
        <v>41243</v>
      </c>
      <c r="B45" s="1"/>
      <c r="C45" s="59">
        <v>7.3300000000000004E-2</v>
      </c>
      <c r="D45" s="59">
        <v>-5.8200000000000002E-2</v>
      </c>
      <c r="E45" s="59">
        <v>-7.8600000000000003E-2</v>
      </c>
      <c r="F45" s="59">
        <v>-3.1699999999999999E-2</v>
      </c>
      <c r="G45" s="49"/>
      <c r="H45" s="59"/>
      <c r="I45" s="59"/>
      <c r="J45" s="59"/>
      <c r="K45" s="59"/>
      <c r="L45" s="47"/>
    </row>
    <row r="46" spans="1:12" x14ac:dyDescent="0.3">
      <c r="A46" s="1">
        <v>41274</v>
      </c>
      <c r="B46" s="1"/>
      <c r="C46" s="59">
        <v>8.2500000000000004E-2</v>
      </c>
      <c r="D46" s="59">
        <v>7.8799999999999995E-2</v>
      </c>
      <c r="E46" s="59">
        <v>0.1469</v>
      </c>
      <c r="F46" s="59">
        <v>0.1507</v>
      </c>
      <c r="G46" s="49"/>
      <c r="H46" s="59"/>
      <c r="I46" s="59"/>
      <c r="J46" s="59"/>
      <c r="K46" s="59"/>
      <c r="L46" s="47"/>
    </row>
    <row r="47" spans="1:12" x14ac:dyDescent="0.3">
      <c r="A47" s="1">
        <v>41305</v>
      </c>
      <c r="B47" s="1"/>
      <c r="C47" s="59">
        <v>-4.8600000000000004E-2</v>
      </c>
      <c r="D47" s="59">
        <v>2.1499999999999998E-2</v>
      </c>
      <c r="E47" s="59">
        <v>-0.1116</v>
      </c>
      <c r="F47" s="59">
        <v>-1.72E-2</v>
      </c>
      <c r="G47" s="49"/>
      <c r="H47" s="59"/>
      <c r="I47" s="59"/>
      <c r="J47" s="59"/>
      <c r="K47" s="59"/>
      <c r="L47" s="47"/>
    </row>
    <row r="48" spans="1:12" x14ac:dyDescent="0.3">
      <c r="A48" s="1">
        <v>41333</v>
      </c>
      <c r="B48" s="1"/>
      <c r="C48" s="59">
        <v>6.6299999999999998E-2</v>
      </c>
      <c r="D48" s="59">
        <v>-8.3999999999999995E-3</v>
      </c>
      <c r="E48" s="59">
        <v>-2.3E-3</v>
      </c>
      <c r="F48" s="59">
        <v>4.6799999999999994E-2</v>
      </c>
      <c r="G48" s="49"/>
      <c r="H48" s="59"/>
      <c r="I48" s="59"/>
      <c r="J48" s="59"/>
      <c r="K48" s="59"/>
      <c r="L48" s="47"/>
    </row>
    <row r="49" spans="1:12" x14ac:dyDescent="0.3">
      <c r="A49" s="1">
        <v>41364</v>
      </c>
      <c r="B49" s="1"/>
      <c r="C49" s="59">
        <v>-1.1000000000000001E-2</v>
      </c>
      <c r="D49" s="59">
        <v>-7.7800000000000008E-2</v>
      </c>
      <c r="E49" s="59">
        <v>-1.6299999999999999E-2</v>
      </c>
      <c r="F49" s="59">
        <v>3.7000000000000002E-3</v>
      </c>
      <c r="G49" s="49"/>
      <c r="H49" s="59"/>
      <c r="I49" s="59"/>
      <c r="J49" s="59"/>
      <c r="K49" s="59"/>
      <c r="L49" s="47"/>
    </row>
    <row r="50" spans="1:12" x14ac:dyDescent="0.3">
      <c r="A50" s="1">
        <v>41394</v>
      </c>
      <c r="B50" s="1"/>
      <c r="C50" s="59">
        <v>-4.5999999999999999E-3</v>
      </c>
      <c r="D50" s="59">
        <v>-3.6799999999999999E-2</v>
      </c>
      <c r="E50" s="59">
        <v>-4.7400000000000005E-2</v>
      </c>
      <c r="F50" s="59">
        <v>-0.41369999999999996</v>
      </c>
      <c r="G50" s="49"/>
      <c r="H50" s="59"/>
      <c r="I50" s="59"/>
      <c r="J50" s="59"/>
      <c r="K50" s="59"/>
      <c r="L50" s="47"/>
    </row>
    <row r="51" spans="1:12" x14ac:dyDescent="0.3">
      <c r="A51" s="1">
        <v>41425</v>
      </c>
      <c r="B51" s="1"/>
      <c r="C51" s="59">
        <v>1.18E-2</v>
      </c>
      <c r="D51" s="59">
        <v>2.5499999999999998E-2</v>
      </c>
      <c r="E51" s="59">
        <v>-1.49E-2</v>
      </c>
      <c r="F51" s="59">
        <v>0.18989999999999999</v>
      </c>
      <c r="G51" s="49"/>
      <c r="H51" s="59"/>
      <c r="I51" s="59"/>
      <c r="J51" s="59"/>
      <c r="K51" s="59"/>
      <c r="L51" s="47"/>
    </row>
    <row r="52" spans="1:12" x14ac:dyDescent="0.3">
      <c r="A52" s="1">
        <v>41455</v>
      </c>
      <c r="B52" s="1"/>
      <c r="C52" s="59">
        <v>-0.12740000000000001</v>
      </c>
      <c r="D52" s="59">
        <v>-7.2999999999999995E-2</v>
      </c>
      <c r="E52" s="59">
        <v>-7.3200000000000001E-2</v>
      </c>
      <c r="F52" s="59">
        <v>0.11169999999999999</v>
      </c>
      <c r="G52" s="49"/>
      <c r="H52" s="59"/>
      <c r="I52" s="59"/>
      <c r="J52" s="59"/>
      <c r="K52" s="59"/>
      <c r="L52" s="47"/>
    </row>
    <row r="53" spans="1:12" x14ac:dyDescent="0.3">
      <c r="A53" s="1">
        <v>41486</v>
      </c>
      <c r="B53" s="1"/>
      <c r="C53" s="59">
        <v>-4.6199999999999998E-2</v>
      </c>
      <c r="D53" s="59">
        <v>8.3800000000000013E-2</v>
      </c>
      <c r="E53" s="59">
        <v>0.1444</v>
      </c>
      <c r="F53" s="59">
        <v>0.56459999999999999</v>
      </c>
      <c r="G53" s="49"/>
      <c r="H53" s="59"/>
      <c r="I53" s="59"/>
      <c r="J53" s="59"/>
      <c r="K53" s="59"/>
      <c r="L53" s="47"/>
    </row>
    <row r="54" spans="1:12" x14ac:dyDescent="0.3">
      <c r="A54" s="1">
        <v>41517</v>
      </c>
      <c r="B54" s="1"/>
      <c r="C54" s="59">
        <v>6.8699999999999997E-2</v>
      </c>
      <c r="D54" s="59">
        <v>-3.0999999999999999E-3</v>
      </c>
      <c r="E54" s="59">
        <v>8.3299999999999999E-2</v>
      </c>
      <c r="F54" s="59">
        <v>-0.31040000000000001</v>
      </c>
      <c r="G54" s="49"/>
      <c r="H54" s="59"/>
      <c r="I54" s="59"/>
      <c r="J54" s="59"/>
      <c r="K54" s="59"/>
      <c r="L54" s="47"/>
    </row>
    <row r="55" spans="1:12" x14ac:dyDescent="0.3">
      <c r="A55" s="1">
        <v>41547</v>
      </c>
      <c r="B55" s="1"/>
      <c r="C55" s="59">
        <v>-7.000000000000001E-4</v>
      </c>
      <c r="D55" s="59">
        <v>-9.300000000000001E-3</v>
      </c>
      <c r="E55" s="59">
        <v>0.16039999999999999</v>
      </c>
      <c r="F55" s="59">
        <v>3.6600000000000001E-2</v>
      </c>
      <c r="G55" s="49"/>
      <c r="H55" s="59"/>
      <c r="I55" s="59"/>
      <c r="J55" s="59"/>
      <c r="K55" s="59"/>
      <c r="L55" s="47"/>
    </row>
    <row r="56" spans="1:12" x14ac:dyDescent="0.3">
      <c r="A56" s="1">
        <v>41578</v>
      </c>
      <c r="B56" s="1"/>
      <c r="C56" s="59">
        <v>7.17E-2</v>
      </c>
      <c r="D56" s="59">
        <v>-9.3999999999999986E-3</v>
      </c>
      <c r="E56" s="59">
        <v>-3.9800000000000002E-2</v>
      </c>
      <c r="F56" s="59">
        <v>-1.4999999999999999E-2</v>
      </c>
      <c r="G56" s="49"/>
      <c r="H56" s="59"/>
      <c r="I56" s="59"/>
      <c r="J56" s="59"/>
      <c r="K56" s="59"/>
      <c r="L56" s="47"/>
    </row>
    <row r="57" spans="1:12" x14ac:dyDescent="0.3">
      <c r="A57" s="1">
        <v>41608</v>
      </c>
      <c r="B57" s="1"/>
      <c r="C57" s="59">
        <v>1.9799999999999998E-2</v>
      </c>
      <c r="D57" s="59">
        <v>3.4799999999999998E-2</v>
      </c>
      <c r="E57" s="59">
        <v>7.0999999999999994E-2</v>
      </c>
      <c r="F57" s="59">
        <v>-6.9500000000000006E-2</v>
      </c>
      <c r="G57" s="49"/>
      <c r="H57" s="59"/>
      <c r="I57" s="59"/>
      <c r="J57" s="59"/>
      <c r="K57" s="59"/>
      <c r="L57" s="47"/>
    </row>
    <row r="58" spans="1:12" x14ac:dyDescent="0.3">
      <c r="A58" s="1">
        <v>41639</v>
      </c>
      <c r="B58" s="1"/>
      <c r="C58" s="59">
        <v>-8.1699999999999995E-2</v>
      </c>
      <c r="D58" s="59">
        <v>-3.0999999999999999E-3</v>
      </c>
      <c r="E58" s="59">
        <v>-5.3399999999999996E-2</v>
      </c>
      <c r="F58" s="59">
        <v>-7.9600000000000004E-2</v>
      </c>
      <c r="G58" s="49"/>
      <c r="H58" s="59"/>
      <c r="I58" s="59"/>
      <c r="J58" s="59"/>
      <c r="K58" s="59"/>
      <c r="L58" s="47"/>
    </row>
    <row r="59" spans="1:12" x14ac:dyDescent="0.3">
      <c r="A59" s="1">
        <v>41670</v>
      </c>
      <c r="B59" s="1"/>
      <c r="C59" s="59">
        <v>-6.7099999999999993E-2</v>
      </c>
      <c r="D59" s="59">
        <v>-8.5800000000000001E-2</v>
      </c>
      <c r="E59" s="59">
        <v>-0.1265</v>
      </c>
      <c r="F59" s="59">
        <v>0.16690000000000002</v>
      </c>
      <c r="G59" s="49"/>
      <c r="H59" s="59"/>
      <c r="I59" s="59"/>
      <c r="J59" s="59"/>
      <c r="K59" s="59"/>
      <c r="L59" s="47"/>
    </row>
    <row r="60" spans="1:12" x14ac:dyDescent="0.3">
      <c r="A60" s="1">
        <v>41698</v>
      </c>
      <c r="B60" s="1"/>
      <c r="C60" s="59">
        <v>5.3899999999999997E-2</v>
      </c>
      <c r="D60" s="59">
        <v>-4.8600000000000004E-2</v>
      </c>
      <c r="E60" s="59">
        <v>-2.23E-2</v>
      </c>
      <c r="F60" s="59">
        <v>7.1500000000000008E-2</v>
      </c>
      <c r="G60" s="49"/>
      <c r="H60" s="59"/>
      <c r="I60" s="59"/>
      <c r="J60" s="59"/>
      <c r="K60" s="59"/>
      <c r="L60" s="47"/>
    </row>
    <row r="61" spans="1:12" x14ac:dyDescent="0.3">
      <c r="A61" s="1">
        <v>41729</v>
      </c>
      <c r="B61" s="1"/>
      <c r="C61" s="59">
        <v>-4.4000000000000003E-3</v>
      </c>
      <c r="D61" s="59">
        <v>4.2300000000000004E-2</v>
      </c>
      <c r="E61" s="59">
        <v>-3.8699999999999998E-2</v>
      </c>
      <c r="F61" s="59">
        <v>-8.2400000000000001E-2</v>
      </c>
      <c r="G61" s="49"/>
      <c r="H61" s="59"/>
      <c r="I61" s="59"/>
      <c r="J61" s="59"/>
      <c r="K61" s="59"/>
      <c r="L61" s="47"/>
    </row>
    <row r="62" spans="1:12" x14ac:dyDescent="0.3">
      <c r="A62" s="1">
        <v>41759</v>
      </c>
      <c r="B62" s="1"/>
      <c r="C62" s="59">
        <v>0</v>
      </c>
      <c r="D62" s="59">
        <v>3.8900000000000004E-2</v>
      </c>
      <c r="E62" s="59">
        <v>-8.2899999999999988E-2</v>
      </c>
      <c r="F62" s="59">
        <v>9.3200000000000005E-2</v>
      </c>
      <c r="G62" s="49"/>
      <c r="H62" s="59"/>
      <c r="I62" s="59"/>
      <c r="J62" s="59"/>
      <c r="K62" s="59"/>
      <c r="L62" s="47"/>
    </row>
    <row r="63" spans="1:12" x14ac:dyDescent="0.3">
      <c r="A63" s="1">
        <v>41790</v>
      </c>
      <c r="B63" s="1"/>
      <c r="C63" s="59">
        <v>7.4499999999999997E-2</v>
      </c>
      <c r="D63" s="59">
        <v>-6.0199999999999997E-2</v>
      </c>
      <c r="E63" s="59">
        <v>-4.3899999999999995E-2</v>
      </c>
      <c r="F63" s="59">
        <v>1.1399999999999999E-2</v>
      </c>
      <c r="G63" s="49"/>
      <c r="H63" s="59"/>
      <c r="I63" s="59"/>
      <c r="J63" s="59"/>
      <c r="K63" s="59"/>
      <c r="L63" s="47"/>
    </row>
    <row r="64" spans="1:12" x14ac:dyDescent="0.3">
      <c r="A64" s="1">
        <v>41820</v>
      </c>
      <c r="B64" s="1"/>
      <c r="C64" s="59">
        <v>-8.3900000000000002E-2</v>
      </c>
      <c r="D64" s="59">
        <v>5.1900000000000002E-2</v>
      </c>
      <c r="E64" s="59">
        <v>-4.3200000000000002E-2</v>
      </c>
      <c r="F64" s="59">
        <v>-4.3200000000000002E-2</v>
      </c>
      <c r="G64" s="49"/>
      <c r="H64" s="59"/>
      <c r="I64" s="59"/>
      <c r="J64" s="59"/>
      <c r="K64" s="59"/>
      <c r="L64" s="47"/>
    </row>
    <row r="65" spans="1:12" x14ac:dyDescent="0.3">
      <c r="A65" s="1">
        <v>41851</v>
      </c>
      <c r="B65" s="1"/>
      <c r="C65" s="59">
        <v>1.5900000000000001E-2</v>
      </c>
      <c r="D65" s="59">
        <v>0.11019999999999999</v>
      </c>
      <c r="E65" s="59">
        <v>-0.1497</v>
      </c>
      <c r="F65" s="59">
        <v>-0.1439</v>
      </c>
      <c r="G65" s="49"/>
      <c r="H65" s="59"/>
      <c r="I65" s="59"/>
      <c r="J65" s="59"/>
      <c r="K65" s="59"/>
      <c r="L65" s="47"/>
    </row>
    <row r="66" spans="1:12" x14ac:dyDescent="0.3">
      <c r="A66" s="1">
        <v>41882</v>
      </c>
      <c r="B66" s="1"/>
      <c r="C66" s="59">
        <v>-8.1199999999999994E-2</v>
      </c>
      <c r="D66" s="59">
        <v>-1.04E-2</v>
      </c>
      <c r="E66" s="59">
        <v>-4.3200000000000002E-2</v>
      </c>
      <c r="F66" s="59">
        <v>4.5199999999999997E-2</v>
      </c>
      <c r="G66" s="49"/>
      <c r="H66" s="59"/>
      <c r="I66" s="59"/>
      <c r="J66" s="59"/>
      <c r="K66" s="59"/>
      <c r="L66" s="47"/>
    </row>
    <row r="67" spans="1:12" x14ac:dyDescent="0.3">
      <c r="A67" s="1">
        <v>41912</v>
      </c>
      <c r="B67" s="1"/>
      <c r="C67" s="59">
        <v>-4.0500000000000001E-2</v>
      </c>
      <c r="D67" s="59">
        <v>-1.6500000000000001E-2</v>
      </c>
      <c r="E67" s="59">
        <v>-4.5100000000000001E-2</v>
      </c>
      <c r="F67" s="59">
        <v>0.17530000000000001</v>
      </c>
      <c r="G67" s="49"/>
      <c r="H67" s="59"/>
      <c r="I67" s="59"/>
      <c r="J67" s="59"/>
      <c r="K67" s="59"/>
      <c r="L67" s="47"/>
    </row>
    <row r="68" spans="1:12" x14ac:dyDescent="0.3">
      <c r="A68" s="1">
        <v>41943</v>
      </c>
      <c r="B68" s="1"/>
      <c r="C68" s="59">
        <v>5.0700000000000002E-2</v>
      </c>
      <c r="D68" s="59">
        <v>-6.8499999999999991E-2</v>
      </c>
      <c r="E68" s="59">
        <v>-0.27850000000000003</v>
      </c>
      <c r="F68" s="59">
        <v>-0.14300000000000002</v>
      </c>
      <c r="G68" s="49"/>
      <c r="H68" s="59"/>
      <c r="I68" s="59"/>
      <c r="J68" s="59"/>
      <c r="K68" s="59"/>
      <c r="L68" s="47"/>
    </row>
    <row r="69" spans="1:12" x14ac:dyDescent="0.3">
      <c r="A69" s="1">
        <v>41973</v>
      </c>
      <c r="B69" s="1"/>
      <c r="C69" s="59">
        <v>3.4599999999999999E-2</v>
      </c>
      <c r="D69" s="59">
        <v>-1.1399999999999999E-2</v>
      </c>
      <c r="E69" s="59">
        <v>0.245</v>
      </c>
      <c r="F69" s="59">
        <v>-0.05</v>
      </c>
      <c r="G69" s="49"/>
      <c r="H69" s="59"/>
      <c r="I69" s="59"/>
      <c r="J69" s="59"/>
      <c r="K69" s="59"/>
      <c r="L69" s="47"/>
    </row>
    <row r="70" spans="1:12" x14ac:dyDescent="0.3">
      <c r="A70" s="1">
        <v>42004</v>
      </c>
      <c r="B70" s="1"/>
      <c r="C70" s="59">
        <v>3.1099999999999999E-2</v>
      </c>
      <c r="D70" s="59">
        <v>-8.929999999999999E-2</v>
      </c>
      <c r="E70" s="59">
        <v>-6.88E-2</v>
      </c>
      <c r="F70" s="59">
        <v>2.29E-2</v>
      </c>
      <c r="G70" s="49"/>
      <c r="H70" s="59"/>
      <c r="I70" s="59"/>
      <c r="J70" s="59"/>
      <c r="K70" s="59"/>
      <c r="L70" s="47"/>
    </row>
    <row r="71" spans="1:12" x14ac:dyDescent="0.3">
      <c r="A71" s="1">
        <v>42035</v>
      </c>
      <c r="B71" s="1"/>
      <c r="C71" s="59">
        <v>2.86E-2</v>
      </c>
      <c r="D71" s="59">
        <v>-8.3499999999999991E-2</v>
      </c>
      <c r="E71" s="59">
        <v>-1.7399999999999999E-2</v>
      </c>
      <c r="F71" s="59">
        <v>4.7599999999999996E-2</v>
      </c>
      <c r="G71" s="49"/>
      <c r="H71" s="59"/>
      <c r="I71" s="59"/>
      <c r="J71" s="59"/>
      <c r="K71" s="59"/>
      <c r="L71" s="47"/>
    </row>
    <row r="72" spans="1:12" x14ac:dyDescent="0.3">
      <c r="A72" s="1">
        <v>42063</v>
      </c>
      <c r="B72" s="1"/>
      <c r="C72" s="59">
        <v>-5.8999999999999999E-3</v>
      </c>
      <c r="D72" s="59">
        <v>5.9400000000000001E-2</v>
      </c>
      <c r="E72" s="59">
        <v>6.1900000000000004E-2</v>
      </c>
      <c r="F72" s="59">
        <v>0.60929999999999995</v>
      </c>
      <c r="G72" s="49"/>
      <c r="H72" s="59"/>
      <c r="I72" s="59"/>
      <c r="J72" s="59"/>
      <c r="K72" s="59"/>
      <c r="L72" s="47"/>
    </row>
    <row r="73" spans="1:12" x14ac:dyDescent="0.3">
      <c r="A73" s="1">
        <v>42094</v>
      </c>
      <c r="B73" s="1"/>
      <c r="C73" s="59">
        <v>6.1900000000000004E-2</v>
      </c>
      <c r="D73" s="59">
        <v>-8.5999999999999993E-2</v>
      </c>
      <c r="E73" s="59">
        <v>1.67E-2</v>
      </c>
      <c r="F73" s="59">
        <v>6.7199999999999996E-2</v>
      </c>
      <c r="G73" s="49"/>
      <c r="H73" s="59"/>
      <c r="I73" s="59"/>
      <c r="J73" s="59"/>
      <c r="K73" s="59"/>
      <c r="L73" s="47"/>
    </row>
    <row r="74" spans="1:12" x14ac:dyDescent="0.3">
      <c r="A74" s="1">
        <v>42124</v>
      </c>
      <c r="B74" s="1"/>
      <c r="C74" s="59">
        <v>-2.1499999999999998E-2</v>
      </c>
      <c r="D74" s="59">
        <v>3.0699999999999998E-2</v>
      </c>
      <c r="E74" s="59">
        <v>0.14749999999999999</v>
      </c>
      <c r="F74" s="59">
        <v>0.22600000000000001</v>
      </c>
      <c r="G74" s="49"/>
      <c r="H74" s="59"/>
      <c r="I74" s="59"/>
      <c r="J74" s="59"/>
      <c r="K74" s="59"/>
      <c r="L74" s="47"/>
    </row>
    <row r="75" spans="1:12" x14ac:dyDescent="0.3">
      <c r="A75" s="1">
        <v>42155</v>
      </c>
      <c r="B75" s="1"/>
      <c r="C75" s="59">
        <v>-7.2999999999999995E-2</v>
      </c>
      <c r="D75" s="59">
        <v>-3.1699999999999999E-2</v>
      </c>
      <c r="E75" s="59">
        <v>-7.1399999999999991E-2</v>
      </c>
      <c r="F75" s="59">
        <v>-0.19489999999999999</v>
      </c>
      <c r="G75" s="49"/>
      <c r="H75" s="59"/>
      <c r="I75" s="59"/>
      <c r="J75" s="59"/>
      <c r="K75" s="59"/>
      <c r="L75" s="47"/>
    </row>
    <row r="76" spans="1:12" x14ac:dyDescent="0.3">
      <c r="A76" s="1">
        <v>42185</v>
      </c>
      <c r="B76" s="1"/>
      <c r="C76" s="59">
        <v>-2.98E-2</v>
      </c>
      <c r="D76" s="59">
        <v>-8.199999999999999E-2</v>
      </c>
      <c r="E76" s="59">
        <v>-0.1462</v>
      </c>
      <c r="F76" s="59">
        <v>0.13039999999999999</v>
      </c>
      <c r="G76" s="49"/>
      <c r="H76" s="59"/>
      <c r="I76" s="59"/>
      <c r="J76" s="59"/>
      <c r="K76" s="59"/>
      <c r="L76" s="47"/>
    </row>
    <row r="77" spans="1:12" x14ac:dyDescent="0.3">
      <c r="A77" s="1">
        <v>42216</v>
      </c>
      <c r="B77" s="1"/>
      <c r="C77" s="59">
        <v>-6.5500000000000003E-2</v>
      </c>
      <c r="D77" s="59">
        <v>-0.12279999999999999</v>
      </c>
      <c r="E77" s="59">
        <v>-0.12609999999999999</v>
      </c>
      <c r="F77" s="59">
        <v>-1.2999999999999999E-3</v>
      </c>
      <c r="G77" s="49"/>
      <c r="H77" s="59"/>
      <c r="I77" s="59"/>
      <c r="J77" s="59"/>
      <c r="K77" s="59"/>
      <c r="L77" s="47"/>
    </row>
    <row r="78" spans="1:12" x14ac:dyDescent="0.3">
      <c r="A78" s="1">
        <v>42247</v>
      </c>
      <c r="B78" s="1"/>
      <c r="C78" s="59">
        <v>-8.1000000000000003E-2</v>
      </c>
      <c r="D78" s="59">
        <v>-3.3099999999999997E-2</v>
      </c>
      <c r="E78" s="59">
        <v>-5.67E-2</v>
      </c>
      <c r="F78" s="59">
        <v>-8.8599999999999998E-2</v>
      </c>
      <c r="G78" s="49"/>
      <c r="H78" s="59"/>
      <c r="I78" s="59"/>
      <c r="J78" s="59"/>
      <c r="K78" s="59"/>
      <c r="L78" s="47"/>
    </row>
    <row r="79" spans="1:12" x14ac:dyDescent="0.3">
      <c r="A79" s="1">
        <v>42277</v>
      </c>
      <c r="B79" s="1"/>
      <c r="C79" s="59">
        <v>4.1299999999999996E-2</v>
      </c>
      <c r="D79" s="59">
        <v>-0.11320000000000001</v>
      </c>
      <c r="E79" s="59">
        <v>5.4600000000000003E-2</v>
      </c>
      <c r="F79" s="59">
        <v>-4.3700000000000003E-2</v>
      </c>
      <c r="G79" s="49"/>
      <c r="H79" s="59"/>
      <c r="I79" s="59"/>
      <c r="J79" s="59"/>
      <c r="K79" s="59"/>
      <c r="L79" s="47"/>
    </row>
    <row r="80" spans="1:12" x14ac:dyDescent="0.3">
      <c r="A80" s="1">
        <v>42308</v>
      </c>
      <c r="B80" s="1"/>
      <c r="C80" s="59">
        <v>0.20989999999999998</v>
      </c>
      <c r="D80" s="59">
        <v>8.0100000000000005E-2</v>
      </c>
      <c r="E80" s="59">
        <v>-1.3500000000000002E-2</v>
      </c>
      <c r="F80" s="59">
        <v>0.13400000000000001</v>
      </c>
      <c r="G80" s="49"/>
      <c r="H80" s="59"/>
      <c r="I80" s="59"/>
      <c r="J80" s="59"/>
      <c r="K80" s="59"/>
      <c r="L80" s="47"/>
    </row>
    <row r="81" spans="1:12" x14ac:dyDescent="0.3">
      <c r="A81" s="1">
        <v>42338</v>
      </c>
      <c r="B81" s="1"/>
      <c r="C81" s="59">
        <v>-6.4100000000000004E-2</v>
      </c>
      <c r="D81" s="59">
        <v>-7.1399999999999991E-2</v>
      </c>
      <c r="E81" s="59">
        <v>-4.8300000000000003E-2</v>
      </c>
      <c r="F81" s="59">
        <v>0.1208</v>
      </c>
      <c r="G81" s="49"/>
      <c r="H81" s="59"/>
      <c r="I81" s="59"/>
      <c r="J81" s="59"/>
      <c r="K81" s="59"/>
      <c r="L81" s="47"/>
    </row>
    <row r="82" spans="1:12" x14ac:dyDescent="0.3">
      <c r="A82" s="1">
        <v>42369</v>
      </c>
      <c r="B82" s="1"/>
      <c r="C82" s="59">
        <v>-1.8700000000000001E-2</v>
      </c>
      <c r="D82" s="59">
        <v>-1.4800000000000001E-2</v>
      </c>
      <c r="E82" s="59">
        <v>-3.0899999999999997E-2</v>
      </c>
      <c r="F82" s="59">
        <v>8.0000000000000002E-3</v>
      </c>
      <c r="G82" s="49"/>
      <c r="H82" s="59"/>
      <c r="I82" s="59"/>
      <c r="J82" s="59"/>
      <c r="K82" s="59"/>
      <c r="L82" s="47"/>
    </row>
    <row r="83" spans="1:12" x14ac:dyDescent="0.3">
      <c r="A83" s="1">
        <v>42400</v>
      </c>
      <c r="B83" s="1"/>
      <c r="C83" s="59">
        <v>-8.7300000000000003E-2</v>
      </c>
      <c r="D83" s="59">
        <v>7.2099999999999997E-2</v>
      </c>
      <c r="E83" s="59">
        <v>4.7800000000000002E-2</v>
      </c>
      <c r="F83" s="59">
        <v>0.32659999999999995</v>
      </c>
      <c r="G83" s="49"/>
      <c r="H83" s="59"/>
      <c r="I83" s="59"/>
      <c r="J83" s="59"/>
      <c r="K83" s="59"/>
      <c r="L83" s="47"/>
    </row>
    <row r="84" spans="1:12" x14ac:dyDescent="0.3">
      <c r="A84" s="1">
        <v>42429</v>
      </c>
      <c r="B84" s="1"/>
      <c r="C84" s="59">
        <v>2.4300000000000002E-2</v>
      </c>
      <c r="D84" s="59">
        <v>0.11199999999999999</v>
      </c>
      <c r="E84" s="59">
        <v>0.11960000000000001</v>
      </c>
      <c r="F84" s="59">
        <v>-0.1079</v>
      </c>
      <c r="G84" s="49"/>
      <c r="H84" s="59"/>
      <c r="I84" s="59"/>
      <c r="J84" s="59"/>
      <c r="K84" s="59"/>
      <c r="L84" s="47"/>
    </row>
    <row r="85" spans="1:12" x14ac:dyDescent="0.3">
      <c r="A85" s="1">
        <v>42460</v>
      </c>
      <c r="B85" s="1"/>
      <c r="C85" s="59">
        <v>0.11380000000000001</v>
      </c>
      <c r="D85" s="59">
        <v>0.10580000000000001</v>
      </c>
      <c r="E85" s="59">
        <v>3.4000000000000002E-2</v>
      </c>
      <c r="F85" s="59">
        <v>9.8000000000000004E-2</v>
      </c>
      <c r="G85" s="49"/>
      <c r="H85" s="59"/>
      <c r="I85" s="59"/>
      <c r="J85" s="59"/>
      <c r="K85" s="59"/>
      <c r="L85" s="47"/>
    </row>
    <row r="86" spans="1:12" x14ac:dyDescent="0.3">
      <c r="A86" s="1">
        <v>42490</v>
      </c>
      <c r="B86" s="1"/>
      <c r="C86" s="59">
        <v>-5.1100000000000007E-2</v>
      </c>
      <c r="D86" s="59">
        <v>9.5700000000000007E-2</v>
      </c>
      <c r="E86" s="59">
        <v>8.9200000000000002E-2</v>
      </c>
      <c r="F86" s="59">
        <v>-8.3800000000000013E-2</v>
      </c>
      <c r="G86" s="49"/>
      <c r="H86" s="59"/>
      <c r="I86" s="59"/>
      <c r="J86" s="59"/>
      <c r="K86" s="59"/>
      <c r="L86" s="47"/>
    </row>
    <row r="87" spans="1:12" x14ac:dyDescent="0.3">
      <c r="A87" s="1">
        <v>42521</v>
      </c>
      <c r="B87" s="1"/>
      <c r="C87" s="59">
        <v>3.78E-2</v>
      </c>
      <c r="D87" s="59">
        <v>-0.1351</v>
      </c>
      <c r="E87" s="59">
        <v>-5.5999999999999994E-2</v>
      </c>
      <c r="F87" s="59">
        <v>-1.49E-2</v>
      </c>
      <c r="G87" s="49"/>
      <c r="H87" s="59"/>
      <c r="I87" s="59"/>
      <c r="J87" s="59"/>
      <c r="K87" s="59"/>
      <c r="L87" s="47"/>
    </row>
    <row r="88" spans="1:12" x14ac:dyDescent="0.3">
      <c r="A88" s="1">
        <v>42551</v>
      </c>
      <c r="B88" s="1"/>
      <c r="C88" s="59">
        <v>0.10289999999999999</v>
      </c>
      <c r="D88" s="59">
        <v>-3.1300000000000001E-2</v>
      </c>
      <c r="E88" s="59">
        <v>-3.6499999999999998E-2</v>
      </c>
      <c r="F88" s="59">
        <v>-3.0299999999999997E-2</v>
      </c>
      <c r="G88" s="49"/>
      <c r="H88" s="59"/>
      <c r="I88" s="59"/>
      <c r="J88" s="59"/>
      <c r="K88" s="59"/>
      <c r="L88" s="47"/>
    </row>
    <row r="89" spans="1:12" x14ac:dyDescent="0.3">
      <c r="A89" s="1">
        <v>42582</v>
      </c>
      <c r="B89" s="1"/>
      <c r="C89" s="59">
        <v>0.08</v>
      </c>
      <c r="D89" s="59">
        <v>0.1241</v>
      </c>
      <c r="E89" s="59">
        <v>0.18960000000000002</v>
      </c>
      <c r="F89" s="59">
        <v>8.3199999999999996E-2</v>
      </c>
      <c r="G89" s="49"/>
      <c r="H89" s="59"/>
      <c r="I89" s="59"/>
      <c r="J89" s="59"/>
      <c r="K89" s="59"/>
      <c r="L89" s="47"/>
    </row>
    <row r="90" spans="1:12" x14ac:dyDescent="0.3">
      <c r="A90" s="1">
        <v>42613</v>
      </c>
      <c r="B90" s="1"/>
      <c r="C90" s="59">
        <v>5.2600000000000001E-2</v>
      </c>
      <c r="D90" s="59">
        <v>1.9900000000000001E-2</v>
      </c>
      <c r="E90" s="59">
        <v>9.5600000000000004E-2</v>
      </c>
      <c r="F90" s="59">
        <v>2.5899999999999999E-2</v>
      </c>
      <c r="G90" s="49"/>
      <c r="H90" s="59"/>
      <c r="I90" s="59"/>
      <c r="J90" s="59"/>
      <c r="K90" s="59"/>
      <c r="L90" s="47"/>
    </row>
    <row r="91" spans="1:12" x14ac:dyDescent="0.3">
      <c r="A91" s="1">
        <v>42643</v>
      </c>
      <c r="B91" s="1"/>
      <c r="C91" s="59">
        <v>-1.3600000000000001E-2</v>
      </c>
      <c r="D91" s="59">
        <v>-1.7299999999999999E-2</v>
      </c>
      <c r="E91" s="59">
        <v>3.5999999999999999E-3</v>
      </c>
      <c r="F91" s="59">
        <v>-3.7000000000000002E-3</v>
      </c>
      <c r="G91" s="49"/>
      <c r="H91" s="59"/>
      <c r="I91" s="59"/>
      <c r="J91" s="59"/>
      <c r="K91" s="59"/>
      <c r="L91" s="47"/>
    </row>
    <row r="92" spans="1:12" x14ac:dyDescent="0.3">
      <c r="A92" s="1">
        <v>42674</v>
      </c>
      <c r="B92" s="1"/>
      <c r="C92" s="59">
        <v>2.5699999999999997E-2</v>
      </c>
      <c r="D92" s="59">
        <v>4.41E-2</v>
      </c>
      <c r="E92" s="59">
        <v>5.4299999999999994E-2</v>
      </c>
      <c r="F92" s="59">
        <v>-1.9E-3</v>
      </c>
      <c r="G92" s="49"/>
      <c r="H92" s="59"/>
      <c r="I92" s="59"/>
      <c r="J92" s="59"/>
      <c r="K92" s="59"/>
      <c r="L92" s="47"/>
    </row>
    <row r="93" spans="1:12" x14ac:dyDescent="0.3">
      <c r="A93" s="1">
        <v>42704</v>
      </c>
      <c r="B93" s="1"/>
      <c r="C93" s="59">
        <v>6.5299999999999997E-2</v>
      </c>
      <c r="D93" s="59">
        <v>5.2699999999999997E-2</v>
      </c>
      <c r="E93" s="59">
        <v>-2.41E-2</v>
      </c>
      <c r="F93" s="59">
        <v>-3.5799999999999998E-2</v>
      </c>
      <c r="G93" s="49"/>
      <c r="H93" s="59"/>
      <c r="I93" s="59"/>
      <c r="J93" s="59"/>
      <c r="K93" s="59"/>
      <c r="L93" s="47"/>
    </row>
    <row r="94" spans="1:12" x14ac:dyDescent="0.3">
      <c r="A94" s="1">
        <v>42735</v>
      </c>
      <c r="B94" s="1"/>
      <c r="C94" s="59">
        <v>3.2099999999999997E-2</v>
      </c>
      <c r="D94" s="59">
        <v>3.2099999999999997E-2</v>
      </c>
      <c r="E94" s="59">
        <v>2.46E-2</v>
      </c>
      <c r="F94" s="59">
        <v>0.10060000000000001</v>
      </c>
      <c r="G94" s="49"/>
      <c r="H94" s="59"/>
      <c r="I94" s="59"/>
      <c r="J94" s="59"/>
      <c r="K94" s="59"/>
      <c r="L94" s="47"/>
    </row>
    <row r="95" spans="1:12" x14ac:dyDescent="0.3">
      <c r="A95" s="1">
        <v>42741</v>
      </c>
      <c r="B95" s="1"/>
      <c r="C95" s="59">
        <v>4.4000000000000003E-3</v>
      </c>
      <c r="D95" s="59">
        <v>-2.9100000000000001E-2</v>
      </c>
      <c r="E95" s="59">
        <v>-3.78E-2</v>
      </c>
      <c r="F95" s="59">
        <v>-1.9599999999999999E-2</v>
      </c>
      <c r="G95" s="49"/>
      <c r="H95" s="59"/>
      <c r="I95" s="59"/>
      <c r="J95" s="59"/>
      <c r="K95" s="59"/>
      <c r="L95" s="47"/>
    </row>
    <row r="96" spans="1:12" x14ac:dyDescent="0.3">
      <c r="C96" s="58"/>
      <c r="D96" s="58"/>
      <c r="E96" s="58"/>
      <c r="F96" s="58"/>
      <c r="H96" s="62"/>
      <c r="I96" s="62"/>
      <c r="J96" s="62"/>
      <c r="K96" s="62"/>
    </row>
  </sheetData>
  <mergeCells count="102">
    <mergeCell ref="N21:P21"/>
    <mergeCell ref="Q21:R21"/>
    <mergeCell ref="I20:I21"/>
    <mergeCell ref="J20:J21"/>
    <mergeCell ref="K20:K21"/>
    <mergeCell ref="C19:F19"/>
    <mergeCell ref="H19:K19"/>
    <mergeCell ref="Q20:R20"/>
    <mergeCell ref="N20:P20"/>
    <mergeCell ref="A95:B95"/>
    <mergeCell ref="C20:C21"/>
    <mergeCell ref="D20:D21"/>
    <mergeCell ref="E20:E21"/>
    <mergeCell ref="F20:F21"/>
    <mergeCell ref="H20:H21"/>
    <mergeCell ref="A90:B90"/>
    <mergeCell ref="A91:B91"/>
    <mergeCell ref="A92:B92"/>
    <mergeCell ref="A93:B93"/>
    <mergeCell ref="A94:B94"/>
    <mergeCell ref="A85:B85"/>
    <mergeCell ref="A86:B86"/>
    <mergeCell ref="A87:B87"/>
    <mergeCell ref="A88:B88"/>
    <mergeCell ref="A89:B89"/>
    <mergeCell ref="A80:B80"/>
    <mergeCell ref="A81:B81"/>
    <mergeCell ref="A82:B82"/>
    <mergeCell ref="A83:B83"/>
    <mergeCell ref="A84:B84"/>
    <mergeCell ref="A75:B75"/>
    <mergeCell ref="A76:B76"/>
    <mergeCell ref="A77:B77"/>
    <mergeCell ref="A78:B78"/>
    <mergeCell ref="A79:B79"/>
    <mergeCell ref="A70:B70"/>
    <mergeCell ref="A71:B71"/>
    <mergeCell ref="A72:B72"/>
    <mergeCell ref="A73:B73"/>
    <mergeCell ref="A74:B74"/>
    <mergeCell ref="A65:B65"/>
    <mergeCell ref="A66:B66"/>
    <mergeCell ref="A67:B67"/>
    <mergeCell ref="A68:B68"/>
    <mergeCell ref="A69:B69"/>
    <mergeCell ref="A60:B60"/>
    <mergeCell ref="A61:B61"/>
    <mergeCell ref="A62:B62"/>
    <mergeCell ref="A63:B63"/>
    <mergeCell ref="A64:B64"/>
    <mergeCell ref="A55:B55"/>
    <mergeCell ref="A56:B56"/>
    <mergeCell ref="A57:B57"/>
    <mergeCell ref="A58:B58"/>
    <mergeCell ref="A59:B59"/>
    <mergeCell ref="A50:B50"/>
    <mergeCell ref="A51:B51"/>
    <mergeCell ref="A52:B52"/>
    <mergeCell ref="A53:B53"/>
    <mergeCell ref="A54:B54"/>
    <mergeCell ref="A45:B45"/>
    <mergeCell ref="A46:B46"/>
    <mergeCell ref="A47:B47"/>
    <mergeCell ref="A48:B48"/>
    <mergeCell ref="A49:B49"/>
    <mergeCell ref="A40:B40"/>
    <mergeCell ref="A41:B41"/>
    <mergeCell ref="A42:B42"/>
    <mergeCell ref="A43:B43"/>
    <mergeCell ref="A44:B44"/>
    <mergeCell ref="A35:B35"/>
    <mergeCell ref="A36:B36"/>
    <mergeCell ref="A37:B37"/>
    <mergeCell ref="A38:B38"/>
    <mergeCell ref="A39:B39"/>
    <mergeCell ref="A30:B30"/>
    <mergeCell ref="A31:B31"/>
    <mergeCell ref="A32:B32"/>
    <mergeCell ref="A33:B33"/>
    <mergeCell ref="A34:B34"/>
    <mergeCell ref="A25:B25"/>
    <mergeCell ref="A26:B26"/>
    <mergeCell ref="A27:B27"/>
    <mergeCell ref="A28:B28"/>
    <mergeCell ref="A29:B29"/>
    <mergeCell ref="A21:B21"/>
    <mergeCell ref="A22:B22"/>
    <mergeCell ref="A23:B23"/>
    <mergeCell ref="A24:B24"/>
    <mergeCell ref="B17:D17"/>
    <mergeCell ref="A3:B3"/>
    <mergeCell ref="A1:M1"/>
    <mergeCell ref="A10:B10"/>
    <mergeCell ref="B13:D13"/>
    <mergeCell ref="B14:D14"/>
    <mergeCell ref="B15:D15"/>
    <mergeCell ref="B16:D16"/>
    <mergeCell ref="E13:F13"/>
    <mergeCell ref="I14:I15"/>
    <mergeCell ref="J14:J15"/>
    <mergeCell ref="K14:K15"/>
    <mergeCell ref="H14:H15"/>
  </mergeCells>
  <phoneticPr fontId="3" type="noConversion"/>
  <conditionalFormatting sqref="C20">
    <cfRule type="duplicateValues" dxfId="3" priority="4"/>
  </conditionalFormatting>
  <conditionalFormatting sqref="H20:K20">
    <cfRule type="duplicateValues" dxfId="2" priority="3"/>
  </conditionalFormatting>
  <conditionalFormatting sqref="D20:F20">
    <cfRule type="duplicateValues" dxfId="1" priority="2"/>
  </conditionalFormatting>
  <conditionalFormatting sqref="H14:K14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J34"/>
  <sheetViews>
    <sheetView topLeftCell="A4" zoomScale="145" zoomScaleNormal="145" zoomScalePageLayoutView="160" workbookViewId="0">
      <selection activeCell="I24" sqref="I24"/>
    </sheetView>
  </sheetViews>
  <sheetFormatPr defaultColWidth="9.125" defaultRowHeight="12.75" x14ac:dyDescent="0.2"/>
  <cols>
    <col min="1" max="1" width="9.125" style="3"/>
    <col min="2" max="2" width="17.25" style="3" bestFit="1" customWidth="1"/>
    <col min="3" max="3" width="12.875" style="3" bestFit="1" customWidth="1"/>
    <col min="4" max="4" width="11.875" style="3" bestFit="1" customWidth="1"/>
    <col min="5" max="5" width="15.375" style="3" bestFit="1" customWidth="1"/>
    <col min="6" max="6" width="11.875" style="3" bestFit="1" customWidth="1"/>
    <col min="7" max="7" width="7.875" style="3" customWidth="1"/>
    <col min="8" max="8" width="7.25" style="3" customWidth="1"/>
    <col min="9" max="9" width="9.125" style="3"/>
    <col min="10" max="10" width="7.75" style="3" bestFit="1" customWidth="1"/>
    <col min="11" max="16384" width="9.125" style="3"/>
  </cols>
  <sheetData>
    <row r="1" spans="1:10" ht="19.5" x14ac:dyDescent="0.3">
      <c r="A1" s="105" t="s">
        <v>27</v>
      </c>
      <c r="B1" s="105"/>
      <c r="C1" s="105"/>
      <c r="D1" s="105"/>
      <c r="E1" s="105"/>
      <c r="F1" s="105"/>
    </row>
    <row r="3" spans="1:10" x14ac:dyDescent="0.2">
      <c r="A3" s="83" t="s">
        <v>14</v>
      </c>
      <c r="B3" s="83"/>
      <c r="C3" s="25" t="s">
        <v>17</v>
      </c>
    </row>
    <row r="4" spans="1:10" x14ac:dyDescent="0.2">
      <c r="C4" s="26" t="s">
        <v>66</v>
      </c>
    </row>
    <row r="5" spans="1:10" ht="16.5" x14ac:dyDescent="0.3">
      <c r="A5" s="3" t="s">
        <v>0</v>
      </c>
      <c r="B5" s="79">
        <f>F17</f>
        <v>-1660</v>
      </c>
      <c r="C5" s="25" t="s">
        <v>18</v>
      </c>
      <c r="D5" s="4"/>
      <c r="E5" s="4"/>
      <c r="F5" s="5"/>
      <c r="J5" s="11"/>
    </row>
    <row r="6" spans="1:10" ht="13.5" thickBot="1" x14ac:dyDescent="0.25">
      <c r="B6" s="6"/>
      <c r="C6" s="7" t="s">
        <v>16</v>
      </c>
      <c r="D6" s="7" t="s">
        <v>1</v>
      </c>
      <c r="E6" s="7" t="s">
        <v>2</v>
      </c>
      <c r="F6" s="19" t="s">
        <v>3</v>
      </c>
    </row>
    <row r="7" spans="1:10" x14ac:dyDescent="0.2">
      <c r="B7" s="21" t="s">
        <v>11</v>
      </c>
      <c r="C7" s="8">
        <v>0.1</v>
      </c>
      <c r="D7" s="9"/>
      <c r="E7" s="9"/>
      <c r="F7" s="10"/>
    </row>
    <row r="8" spans="1:10" x14ac:dyDescent="0.2">
      <c r="B8" s="20" t="s">
        <v>5</v>
      </c>
      <c r="C8" s="29"/>
      <c r="D8" s="27">
        <f>C8*$C$7+C8</f>
        <v>0</v>
      </c>
      <c r="E8" s="22">
        <f>D8*$C$7+D8</f>
        <v>0</v>
      </c>
      <c r="F8" s="22">
        <f>SUM(C8:E8)</f>
        <v>0</v>
      </c>
    </row>
    <row r="9" spans="1:10" x14ac:dyDescent="0.2">
      <c r="B9" s="20" t="s">
        <v>9</v>
      </c>
      <c r="C9" s="30"/>
      <c r="D9" s="27">
        <f>C9*$C$7+C9</f>
        <v>0</v>
      </c>
      <c r="E9" s="22">
        <f>ROUND(D9*(1+$C$7),-1)</f>
        <v>0</v>
      </c>
      <c r="F9" s="22">
        <f>SUM(C9:E9)</f>
        <v>0</v>
      </c>
    </row>
    <row r="10" spans="1:10" x14ac:dyDescent="0.2">
      <c r="B10" s="14" t="s">
        <v>10</v>
      </c>
      <c r="C10" s="28">
        <f>SUM(C8:C9)</f>
        <v>0</v>
      </c>
      <c r="D10" s="22">
        <f>SUM(D8:D9)</f>
        <v>0</v>
      </c>
      <c r="E10" s="22">
        <f>SUM(E8:E9)</f>
        <v>0</v>
      </c>
      <c r="F10" s="22">
        <f>SUM(F8:F9)</f>
        <v>0</v>
      </c>
    </row>
    <row r="11" spans="1:10" x14ac:dyDescent="0.2">
      <c r="B11" s="15"/>
      <c r="C11" s="16"/>
      <c r="D11" s="16"/>
      <c r="E11" s="16"/>
      <c r="F11" s="17"/>
    </row>
    <row r="12" spans="1:10" x14ac:dyDescent="0.2">
      <c r="B12" s="21" t="s">
        <v>6</v>
      </c>
      <c r="C12" s="13"/>
      <c r="D12" s="13"/>
      <c r="E12" s="13"/>
      <c r="F12" s="18"/>
    </row>
    <row r="13" spans="1:10" x14ac:dyDescent="0.2">
      <c r="B13" s="20" t="s">
        <v>8</v>
      </c>
      <c r="C13" s="31"/>
      <c r="D13" s="23">
        <f t="shared" ref="D13:E15" si="0">ROUND(C13*(1+$C$7),-1)</f>
        <v>0</v>
      </c>
      <c r="E13" s="23">
        <f t="shared" si="0"/>
        <v>0</v>
      </c>
      <c r="F13" s="23">
        <f>SUM(C13:E13)</f>
        <v>0</v>
      </c>
    </row>
    <row r="14" spans="1:10" x14ac:dyDescent="0.2">
      <c r="B14" s="20" t="s">
        <v>7</v>
      </c>
      <c r="C14" s="32"/>
      <c r="D14" s="23">
        <f t="shared" si="0"/>
        <v>0</v>
      </c>
      <c r="E14" s="23">
        <f t="shared" si="0"/>
        <v>0</v>
      </c>
      <c r="F14" s="23">
        <f>SUM(C14:E14)</f>
        <v>0</v>
      </c>
    </row>
    <row r="15" spans="1:10" x14ac:dyDescent="0.2">
      <c r="B15" s="12" t="s">
        <v>4</v>
      </c>
      <c r="C15" s="23">
        <v>500</v>
      </c>
      <c r="D15" s="23">
        <f t="shared" si="0"/>
        <v>550</v>
      </c>
      <c r="E15" s="23">
        <f t="shared" si="0"/>
        <v>610</v>
      </c>
      <c r="F15" s="23">
        <f>SUM(C15:E15)</f>
        <v>1660</v>
      </c>
    </row>
    <row r="16" spans="1:10" x14ac:dyDescent="0.2">
      <c r="B16" s="24" t="s">
        <v>12</v>
      </c>
      <c r="C16" s="23">
        <f>SUM(C13:C15)</f>
        <v>500</v>
      </c>
      <c r="D16" s="23">
        <f>SUM(D13:D15)</f>
        <v>550</v>
      </c>
      <c r="E16" s="23">
        <f>SUM(E13:E15)</f>
        <v>610</v>
      </c>
      <c r="F16" s="23">
        <f>SUM(F13:F15)</f>
        <v>1660</v>
      </c>
    </row>
    <row r="17" spans="1:6" x14ac:dyDescent="0.2">
      <c r="B17" s="21" t="s">
        <v>13</v>
      </c>
      <c r="C17" s="23">
        <f>C10-C16</f>
        <v>-500</v>
      </c>
      <c r="D17" s="23">
        <f>D10-D16</f>
        <v>-550</v>
      </c>
      <c r="E17" s="23">
        <f>E10-E16</f>
        <v>-610</v>
      </c>
      <c r="F17" s="23">
        <f>F10-F16</f>
        <v>-1660</v>
      </c>
    </row>
    <row r="19" spans="1:6" x14ac:dyDescent="0.2">
      <c r="A19" s="104" t="s">
        <v>15</v>
      </c>
      <c r="B19" s="104"/>
      <c r="C19" s="3" t="s">
        <v>19</v>
      </c>
    </row>
    <row r="21" spans="1:6" x14ac:dyDescent="0.2">
      <c r="B21" s="33" t="s">
        <v>22</v>
      </c>
      <c r="C21" s="34" t="s">
        <v>23</v>
      </c>
      <c r="E21" s="33" t="s">
        <v>22</v>
      </c>
      <c r="F21" s="34" t="s">
        <v>23</v>
      </c>
    </row>
    <row r="22" spans="1:6" x14ac:dyDescent="0.2">
      <c r="B22" s="3" t="s">
        <v>20</v>
      </c>
      <c r="C22" s="36"/>
      <c r="E22" s="3" t="s">
        <v>20</v>
      </c>
      <c r="F22" s="36"/>
    </row>
    <row r="23" spans="1:6" x14ac:dyDescent="0.2">
      <c r="B23" s="3" t="s">
        <v>21</v>
      </c>
      <c r="C23" s="37"/>
      <c r="E23" s="3" t="s">
        <v>21</v>
      </c>
      <c r="F23" s="38"/>
    </row>
    <row r="24" spans="1:6" x14ac:dyDescent="0.2">
      <c r="E24" s="3" t="s">
        <v>25</v>
      </c>
      <c r="F24" s="37"/>
    </row>
    <row r="25" spans="1:6" x14ac:dyDescent="0.2">
      <c r="B25" s="33" t="s">
        <v>24</v>
      </c>
      <c r="C25" s="34" t="s">
        <v>23</v>
      </c>
    </row>
    <row r="26" spans="1:6" x14ac:dyDescent="0.2">
      <c r="C26" s="35">
        <f>C22^2-C22*C23+C23^2-3*C22</f>
        <v>0</v>
      </c>
      <c r="E26" s="33" t="s">
        <v>24</v>
      </c>
      <c r="F26" s="40" t="s">
        <v>23</v>
      </c>
    </row>
    <row r="27" spans="1:6" x14ac:dyDescent="0.2">
      <c r="E27" s="39"/>
      <c r="F27" s="35">
        <f>F22^2+F23^2+F24^2</f>
        <v>0</v>
      </c>
    </row>
    <row r="29" spans="1:6" x14ac:dyDescent="0.2">
      <c r="E29" s="33" t="s">
        <v>26</v>
      </c>
      <c r="F29" s="33" t="s">
        <v>23</v>
      </c>
    </row>
    <row r="30" spans="1:6" x14ac:dyDescent="0.2">
      <c r="F30" s="3">
        <f>2*F22+F23-5</f>
        <v>-5</v>
      </c>
    </row>
    <row r="31" spans="1:6" x14ac:dyDescent="0.2">
      <c r="F31" s="3">
        <f>F22+F24-2</f>
        <v>-2</v>
      </c>
    </row>
    <row r="32" spans="1:6" x14ac:dyDescent="0.2">
      <c r="F32" s="3">
        <f>-F22+1</f>
        <v>1</v>
      </c>
    </row>
    <row r="33" spans="6:6" x14ac:dyDescent="0.2">
      <c r="F33" s="3">
        <f>-F23+2</f>
        <v>2</v>
      </c>
    </row>
    <row r="34" spans="6:6" x14ac:dyDescent="0.2">
      <c r="F34" s="3">
        <f>-F24</f>
        <v>0</v>
      </c>
    </row>
  </sheetData>
  <scenarios current="0">
    <scenario name="최적화" count="3" user="jay kim" comment="만든 사람 jay kim 날짜 11/30/2015">
      <inputCells r="C8" val="1749715.323405" numFmtId="181"/>
      <inputCells r="C9" val="258429.656918793" numFmtId="181"/>
      <inputCells r="C13" val="1100000" numFmtId="181"/>
    </scenario>
  </scenarios>
  <mergeCells count="3">
    <mergeCell ref="A3:B3"/>
    <mergeCell ref="A19:B19"/>
    <mergeCell ref="A1:F1"/>
  </mergeCells>
  <phoneticPr fontId="3" type="noConversion"/>
  <pageMargins left="0.75" right="0.75" top="1" bottom="1" header="0.5" footer="0.5"/>
  <pageSetup orientation="portrait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79998168889431442"/>
  </sheetPr>
  <dimension ref="A1:F14"/>
  <sheetViews>
    <sheetView tabSelected="1" zoomScale="145" zoomScaleNormal="145" workbookViewId="0">
      <selection activeCell="G9" sqref="G9"/>
    </sheetView>
  </sheetViews>
  <sheetFormatPr defaultRowHeight="16.5" x14ac:dyDescent="0.3"/>
  <sheetData>
    <row r="1" spans="1:6" ht="18.75" x14ac:dyDescent="0.3">
      <c r="A1" s="106" t="s">
        <v>53</v>
      </c>
      <c r="B1" s="106"/>
      <c r="C1" s="106"/>
      <c r="D1" s="106"/>
      <c r="E1" s="106"/>
      <c r="F1" s="106"/>
    </row>
    <row r="2" spans="1:6" x14ac:dyDescent="0.2">
      <c r="A2" s="3"/>
      <c r="B2" s="3"/>
      <c r="C2" s="3"/>
      <c r="D2" s="3"/>
      <c r="E2" s="3"/>
      <c r="F2" s="3"/>
    </row>
    <row r="3" spans="1:6" x14ac:dyDescent="0.2">
      <c r="A3" s="83" t="s">
        <v>14</v>
      </c>
      <c r="B3" s="83"/>
      <c r="C3" s="26" t="s">
        <v>54</v>
      </c>
      <c r="D3" s="3"/>
      <c r="E3" s="3"/>
      <c r="F3" s="3"/>
    </row>
    <row r="4" spans="1:6" x14ac:dyDescent="0.15">
      <c r="C4" s="26" t="s">
        <v>55</v>
      </c>
    </row>
    <row r="6" spans="1:6" x14ac:dyDescent="0.3">
      <c r="B6" s="107" t="s">
        <v>61</v>
      </c>
      <c r="C6" s="107"/>
      <c r="D6" s="60" t="s">
        <v>62</v>
      </c>
      <c r="E6" s="60" t="s">
        <v>63</v>
      </c>
    </row>
    <row r="7" spans="1:6" x14ac:dyDescent="0.3">
      <c r="B7" s="82" t="s">
        <v>56</v>
      </c>
      <c r="C7" s="82"/>
      <c r="E7">
        <v>150</v>
      </c>
    </row>
    <row r="8" spans="1:6" x14ac:dyDescent="0.3">
      <c r="B8" s="82" t="s">
        <v>57</v>
      </c>
      <c r="C8" s="82"/>
      <c r="E8">
        <v>150</v>
      </c>
    </row>
    <row r="9" spans="1:6" x14ac:dyDescent="0.3">
      <c r="B9" s="82" t="s">
        <v>58</v>
      </c>
      <c r="C9" s="82"/>
      <c r="E9" s="57">
        <v>0.05</v>
      </c>
    </row>
    <row r="10" spans="1:6" x14ac:dyDescent="0.3">
      <c r="B10" s="82" t="s">
        <v>59</v>
      </c>
      <c r="C10" s="82"/>
      <c r="E10">
        <v>8.3299999999999999E-2</v>
      </c>
    </row>
    <row r="11" spans="1:6" x14ac:dyDescent="0.3">
      <c r="B11" s="82" t="s">
        <v>60</v>
      </c>
      <c r="C11" s="82"/>
      <c r="E11">
        <v>0.25</v>
      </c>
    </row>
    <row r="13" spans="1:6" x14ac:dyDescent="0.3">
      <c r="B13" s="44"/>
      <c r="C13" s="46"/>
      <c r="E13" t="s">
        <v>64</v>
      </c>
      <c r="F13" t="s">
        <v>65</v>
      </c>
    </row>
    <row r="14" spans="1:6" x14ac:dyDescent="0.3">
      <c r="B14" s="50"/>
      <c r="C14" s="52"/>
      <c r="E14" s="77">
        <v>4.6268026130611588</v>
      </c>
      <c r="F14" s="78">
        <v>81.094259296198942</v>
      </c>
    </row>
  </sheetData>
  <mergeCells count="8">
    <mergeCell ref="B10:C10"/>
    <mergeCell ref="B11:C11"/>
    <mergeCell ref="A1:F1"/>
    <mergeCell ref="A3:B3"/>
    <mergeCell ref="B6:C6"/>
    <mergeCell ref="B7:C7"/>
    <mergeCell ref="B8:C8"/>
    <mergeCell ref="B9:C9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_xludf.run">
                <anchor moveWithCells="1" sizeWithCells="1">
                  <from>
                    <xdr:col>1</xdr:col>
                    <xdr:colOff>266700</xdr:colOff>
                    <xdr:row>12</xdr:row>
                    <xdr:rowOff>85725</xdr:rowOff>
                  </from>
                  <to>
                    <xdr:col>2</xdr:col>
                    <xdr:colOff>457200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40"/>
  <sheetViews>
    <sheetView workbookViewId="0">
      <selection activeCell="D14" sqref="D14"/>
    </sheetView>
  </sheetViews>
  <sheetFormatPr defaultRowHeight="16.5" x14ac:dyDescent="0.3"/>
  <sheetData>
    <row r="2" spans="1:2" x14ac:dyDescent="0.3">
      <c r="A2">
        <v>1</v>
      </c>
      <c r="B2">
        <f ca="1">RAND()</f>
        <v>0.20916427976767415</v>
      </c>
    </row>
    <row r="3" spans="1:2" x14ac:dyDescent="0.3">
      <c r="A3">
        <v>2</v>
      </c>
      <c r="B3">
        <f t="shared" ref="B3:B40" ca="1" si="0">RAND()</f>
        <v>0.25843470864194829</v>
      </c>
    </row>
    <row r="4" spans="1:2" x14ac:dyDescent="0.3">
      <c r="A4">
        <v>3</v>
      </c>
      <c r="B4">
        <f t="shared" ca="1" si="0"/>
        <v>0.90320182317891051</v>
      </c>
    </row>
    <row r="5" spans="1:2" x14ac:dyDescent="0.3">
      <c r="A5">
        <v>4</v>
      </c>
      <c r="B5">
        <f t="shared" ca="1" si="0"/>
        <v>0.34886384167701889</v>
      </c>
    </row>
    <row r="6" spans="1:2" x14ac:dyDescent="0.3">
      <c r="A6">
        <v>5</v>
      </c>
      <c r="B6">
        <f t="shared" ca="1" si="0"/>
        <v>0.24559543430929687</v>
      </c>
    </row>
    <row r="7" spans="1:2" x14ac:dyDescent="0.3">
      <c r="A7">
        <v>6</v>
      </c>
      <c r="B7">
        <f t="shared" ca="1" si="0"/>
        <v>0.74204874259597753</v>
      </c>
    </row>
    <row r="8" spans="1:2" x14ac:dyDescent="0.3">
      <c r="A8">
        <v>7</v>
      </c>
      <c r="B8">
        <f t="shared" ca="1" si="0"/>
        <v>0.7026114314566736</v>
      </c>
    </row>
    <row r="9" spans="1:2" x14ac:dyDescent="0.3">
      <c r="A9">
        <v>8</v>
      </c>
      <c r="B9">
        <f t="shared" ca="1" si="0"/>
        <v>0.75732309983607893</v>
      </c>
    </row>
    <row r="10" spans="1:2" x14ac:dyDescent="0.3">
      <c r="A10">
        <v>9</v>
      </c>
      <c r="B10">
        <f t="shared" ca="1" si="0"/>
        <v>9.9490746850886436E-2</v>
      </c>
    </row>
    <row r="11" spans="1:2" x14ac:dyDescent="0.3">
      <c r="A11">
        <v>10</v>
      </c>
      <c r="B11">
        <f t="shared" ca="1" si="0"/>
        <v>0.10786346977671712</v>
      </c>
    </row>
    <row r="12" spans="1:2" x14ac:dyDescent="0.3">
      <c r="A12">
        <v>11</v>
      </c>
      <c r="B12">
        <f t="shared" ca="1" si="0"/>
        <v>0.32010790116531351</v>
      </c>
    </row>
    <row r="13" spans="1:2" x14ac:dyDescent="0.3">
      <c r="A13">
        <v>12</v>
      </c>
      <c r="B13">
        <f t="shared" ca="1" si="0"/>
        <v>0.72492782583673632</v>
      </c>
    </row>
    <row r="14" spans="1:2" x14ac:dyDescent="0.3">
      <c r="A14">
        <v>13</v>
      </c>
      <c r="B14">
        <f t="shared" ca="1" si="0"/>
        <v>0.1240456353522309</v>
      </c>
    </row>
    <row r="15" spans="1:2" x14ac:dyDescent="0.3">
      <c r="A15">
        <v>14</v>
      </c>
      <c r="B15">
        <f t="shared" ca="1" si="0"/>
        <v>0.4797509962540476</v>
      </c>
    </row>
    <row r="16" spans="1:2" x14ac:dyDescent="0.3">
      <c r="A16">
        <v>15</v>
      </c>
      <c r="B16">
        <f t="shared" ca="1" si="0"/>
        <v>0.10235571002304344</v>
      </c>
    </row>
    <row r="17" spans="1:2" x14ac:dyDescent="0.3">
      <c r="A17">
        <v>16</v>
      </c>
      <c r="B17">
        <f t="shared" ca="1" si="0"/>
        <v>0.14646967740617045</v>
      </c>
    </row>
    <row r="18" spans="1:2" x14ac:dyDescent="0.3">
      <c r="A18">
        <v>17</v>
      </c>
      <c r="B18">
        <f t="shared" ca="1" si="0"/>
        <v>0.86566320727650015</v>
      </c>
    </row>
    <row r="19" spans="1:2" x14ac:dyDescent="0.3">
      <c r="A19">
        <v>18</v>
      </c>
      <c r="B19">
        <f t="shared" ca="1" si="0"/>
        <v>1.4385080816285978E-3</v>
      </c>
    </row>
    <row r="20" spans="1:2" x14ac:dyDescent="0.3">
      <c r="A20">
        <v>19</v>
      </c>
      <c r="B20">
        <f t="shared" ca="1" si="0"/>
        <v>0.11778764317184087</v>
      </c>
    </row>
    <row r="21" spans="1:2" x14ac:dyDescent="0.3">
      <c r="A21">
        <v>20</v>
      </c>
      <c r="B21">
        <f t="shared" ca="1" si="0"/>
        <v>0.12337575951079283</v>
      </c>
    </row>
    <row r="22" spans="1:2" x14ac:dyDescent="0.3">
      <c r="A22">
        <v>21</v>
      </c>
      <c r="B22">
        <f t="shared" ca="1" si="0"/>
        <v>0.1641489375961358</v>
      </c>
    </row>
    <row r="23" spans="1:2" x14ac:dyDescent="0.3">
      <c r="A23">
        <v>22</v>
      </c>
      <c r="B23">
        <f t="shared" ca="1" si="0"/>
        <v>0.80634266679069944</v>
      </c>
    </row>
    <row r="24" spans="1:2" x14ac:dyDescent="0.3">
      <c r="A24">
        <v>23</v>
      </c>
      <c r="B24">
        <f t="shared" ca="1" si="0"/>
        <v>0.17596597533193092</v>
      </c>
    </row>
    <row r="25" spans="1:2" x14ac:dyDescent="0.3">
      <c r="A25">
        <v>24</v>
      </c>
      <c r="B25">
        <f t="shared" ca="1" si="0"/>
        <v>0.77767014072013063</v>
      </c>
    </row>
    <row r="26" spans="1:2" x14ac:dyDescent="0.3">
      <c r="A26">
        <v>25</v>
      </c>
      <c r="B26">
        <f t="shared" ca="1" si="0"/>
        <v>8.8834194452395154E-3</v>
      </c>
    </row>
    <row r="27" spans="1:2" x14ac:dyDescent="0.3">
      <c r="A27">
        <v>26</v>
      </c>
      <c r="B27">
        <f t="shared" ca="1" si="0"/>
        <v>0.45854381848004588</v>
      </c>
    </row>
    <row r="28" spans="1:2" x14ac:dyDescent="0.3">
      <c r="A28">
        <v>27</v>
      </c>
      <c r="B28">
        <f t="shared" ca="1" si="0"/>
        <v>0.15091659309197403</v>
      </c>
    </row>
    <row r="29" spans="1:2" x14ac:dyDescent="0.3">
      <c r="A29">
        <v>28</v>
      </c>
      <c r="B29">
        <f t="shared" ca="1" si="0"/>
        <v>0.37457584822629164</v>
      </c>
    </row>
    <row r="30" spans="1:2" x14ac:dyDescent="0.3">
      <c r="A30">
        <v>29</v>
      </c>
      <c r="B30">
        <f t="shared" ca="1" si="0"/>
        <v>0.57205023047637393</v>
      </c>
    </row>
    <row r="31" spans="1:2" x14ac:dyDescent="0.3">
      <c r="A31">
        <v>30</v>
      </c>
      <c r="B31">
        <f t="shared" ca="1" si="0"/>
        <v>0.26266306680335716</v>
      </c>
    </row>
    <row r="32" spans="1:2" x14ac:dyDescent="0.3">
      <c r="A32">
        <v>31</v>
      </c>
      <c r="B32">
        <f t="shared" ca="1" si="0"/>
        <v>0.28274441864692712</v>
      </c>
    </row>
    <row r="33" spans="1:2" x14ac:dyDescent="0.3">
      <c r="A33">
        <v>32</v>
      </c>
      <c r="B33">
        <f t="shared" ca="1" si="0"/>
        <v>0.54075588286833509</v>
      </c>
    </row>
    <row r="34" spans="1:2" x14ac:dyDescent="0.3">
      <c r="A34">
        <v>33</v>
      </c>
      <c r="B34">
        <f t="shared" ca="1" si="0"/>
        <v>0.2148819036500017</v>
      </c>
    </row>
    <row r="35" spans="1:2" x14ac:dyDescent="0.3">
      <c r="A35">
        <v>34</v>
      </c>
      <c r="B35">
        <f t="shared" ca="1" si="0"/>
        <v>0.71923607516584331</v>
      </c>
    </row>
    <row r="36" spans="1:2" x14ac:dyDescent="0.3">
      <c r="A36">
        <v>35</v>
      </c>
      <c r="B36">
        <f t="shared" ca="1" si="0"/>
        <v>0.7868866903452385</v>
      </c>
    </row>
    <row r="37" spans="1:2" x14ac:dyDescent="0.3">
      <c r="A37">
        <v>36</v>
      </c>
      <c r="B37">
        <f t="shared" ca="1" si="0"/>
        <v>0.80947678398725398</v>
      </c>
    </row>
    <row r="38" spans="1:2" x14ac:dyDescent="0.3">
      <c r="A38">
        <v>37</v>
      </c>
      <c r="B38">
        <f t="shared" ca="1" si="0"/>
        <v>0.38809987214967068</v>
      </c>
    </row>
    <row r="39" spans="1:2" x14ac:dyDescent="0.3">
      <c r="A39">
        <v>38</v>
      </c>
      <c r="B39">
        <f t="shared" ca="1" si="0"/>
        <v>0.6001003546960576</v>
      </c>
    </row>
    <row r="40" spans="1:2" x14ac:dyDescent="0.3">
      <c r="A40">
        <v>39</v>
      </c>
      <c r="B40">
        <f t="shared" ca="1" si="0"/>
        <v>0.94061274815649232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1. 포트폴리오 행렬계산</vt:lpstr>
      <vt:lpstr>2. 해찾기</vt:lpstr>
      <vt:lpstr>3. VBA Black-Scholes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kim</dc:creator>
  <cp:lastModifiedBy>ysh</cp:lastModifiedBy>
  <dcterms:created xsi:type="dcterms:W3CDTF">2015-12-01T05:26:44Z</dcterms:created>
  <dcterms:modified xsi:type="dcterms:W3CDTF">2017-01-23T07:15:15Z</dcterms:modified>
</cp:coreProperties>
</file>